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ds_FY2026" sheetId="2" state="visible" r:id="rId2"/>
    <sheet xmlns:r="http://schemas.openxmlformats.org/officeDocument/2006/relationships" name="Bids_Construction_FY2026" sheetId="3" state="visible" r:id="rId3"/>
    <sheet xmlns:r="http://schemas.openxmlformats.org/officeDocument/2006/relationships" name="ForestTax_Programs" sheetId="4" state="visible" r:id="rId4"/>
    <sheet xmlns:r="http://schemas.openxmlformats.org/officeDocument/2006/relationships" name="ForestTax_Totals" sheetId="5" state="visible" r:id="rId5"/>
    <sheet xmlns:r="http://schemas.openxmlformats.org/officeDocument/2006/relationships" name="Machinery_Loan" sheetId="6" state="visible" r:id="rId6"/>
    <sheet xmlns:r="http://schemas.openxmlformats.org/officeDocument/2006/relationships" name="Oba_Answers" sheetId="7" state="visible" r:id="rId7"/>
  </sheets>
  <definedNames>
    <definedName name="_xlnm._FilterDatabase" localSheetId="1" hidden="1">'Bids_FY2026'!$A$1:$I$37</definedName>
    <definedName name="_xlnm._FilterDatabase" localSheetId="3" hidden="1">'ForestTax_Programs'!$A$1:$E$27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Source</t>
        </is>
      </c>
      <c r="B2" s="2" t="inlineStr">
        <is>
          <t>Replies from Oba Masataka (産業建設課, 御杖村役場), emails 2026-10-21 and 2026-10-27; linked public pages/PDFs downloaded 2026-10-27</t>
        </is>
      </c>
    </row>
    <row r="3">
      <c r="A3" s="2" t="inlineStr">
        <is>
          <t>Key finding 1</t>
        </is>
      </c>
      <c r="B3" s="2" t="inlineStr">
        <is>
          <t>FY2026 施業放置林整備事業 (25+ sites, reserve ¥18,948,000) was won by 御杖村森林組合 at ¥18,700,000 in a competitive bid; only forest coops bid (Muro ¥18.8M, Uda ¥18.9M). See Bids_FY2026.</t>
        </is>
      </c>
    </row>
    <row r="4">
      <c r="A4" s="2" t="inlineStr">
        <is>
          <t>Key finding 2</t>
        </is>
      </c>
      <c r="B4" s="2" t="inlineStr">
        <is>
          <t>Forest environment tax (森林環境譲与税): ¥139.1M used of ¥143.8M received FY2019-FY2024 (96.78% rate at end FY2023 per village table). Largest line: 施業放置林整備事業 (¥30.6M in FY2024).</t>
        </is>
      </c>
    </row>
    <row r="5">
      <c r="A5" s="2" t="inlineStr">
        <is>
          <t>Key finding 3</t>
        </is>
      </c>
      <c r="B5" s="2" t="inlineStr">
        <is>
          <t>Village subsidises wood for the 姫石の湯 log boiler: ¥1.788M in FY2024 (木質バイオマスへの供給促進事業). Earlier years: ¥3,000/t for biomass shipments via 奈良県森林組合連合会.</t>
        </is>
      </c>
    </row>
    <row r="6">
      <c r="A6" s="2" t="inlineStr">
        <is>
          <t>Key finding 4</t>
        </is>
      </c>
      <c r="B6" s="2" t="inlineStr">
        <is>
          <t>Machinery loan (要綱 R6.1.4) is only for ex-協力隊 members in 自伐型林業, ¥1,000/day/machine, no clear-cut use allowed; only a 2.7t dump truck is lendable (backhoe broken). 2 users / 20 days last FY.</t>
        </is>
      </c>
    </row>
    <row r="7">
      <c r="A7" s="2" t="inlineStr">
        <is>
          <t>Key finding 5</t>
        </is>
      </c>
      <c r="B7" s="2" t="inlineStr">
        <is>
          <t>Owner intent survey (森林経営管理制度): NOT done. Parcel (地番) clean-up under way; survey planned for ~4 years after it finishes. Village has no data on owners/absentee share.</t>
        </is>
      </c>
    </row>
    <row r="8">
      <c r="A8" s="2" t="inlineStr">
        <is>
          <t>Oba availability</t>
        </is>
      </c>
      <c r="B8" s="2" t="inlineStr">
        <is>
          <t>In office 2026-11-02, 11-06, 11-10 (reply 10/27). Wants the remaining questions asked in person.</t>
        </is>
      </c>
    </row>
    <row r="9">
      <c r="A9" s="2" t="inlineStr">
        <is>
          <t>Caveat</t>
        </is>
      </c>
      <c r="B9" s="2" t="inlineStr">
        <is>
          <t>Figures were read from PDF text extraction; the older tax tables (FY2019-FY2022) are large survey forms with cut-off columns. Verify against the PDFs before quoting. FY2021 PDF (20230214.pdf) is an image with no text and was not read.</t>
        </is>
      </c>
    </row>
    <row r="10">
      <c r="A10" t="inlineStr">
        <is>
          <t>Update 2026-10-28</t>
        </is>
      </c>
      <c r="B10" t="inlineStr">
        <is>
          <t>Re-checked village site: no new service-bid results after 10/15. Added sheet Bids_Construction_FY2026 (7 construction tenders, Apr–Oct 2026, none forestry). 10/20 results page and 10月工事発注見通し (road/bridge works only) reviewed.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18" customWidth="1" min="4" max="4"/>
    <col width="34" customWidth="1" min="5" max="5"/>
    <col width="14" customWidth="1" min="6" max="6"/>
    <col width="12" customWidth="1" min="7" max="7"/>
    <col width="10" customWidth="1" min="8" max="8"/>
    <col width="26" customWidth="1" min="9" max="9"/>
  </cols>
  <sheetData>
    <row r="1">
      <c r="A1" s="1" t="inlineStr">
        <is>
          <t>Bid date</t>
        </is>
      </c>
      <c r="B1" s="1" t="inlineStr">
        <is>
          <t>Project (業務名)</t>
        </is>
      </c>
      <c r="C1" s="1" t="inlineStr">
        <is>
          <t>Location</t>
        </is>
      </c>
      <c r="D1" s="1" t="inlineStr">
        <is>
          <t>Reserve price ¥ (予定価格, tax-excl. unless noted)</t>
        </is>
      </c>
      <c r="E1" s="1" t="inlineStr">
        <is>
          <t>Bidder</t>
        </is>
      </c>
      <c r="F1" s="1" t="inlineStr">
        <is>
          <t>Bid ¥</t>
        </is>
      </c>
      <c r="G1" s="1" t="inlineStr">
        <is>
          <t>Bid / reserve</t>
        </is>
      </c>
      <c r="H1" s="1" t="inlineStr">
        <is>
          <t>Result</t>
        </is>
      </c>
      <c r="I1" s="1" t="inlineStr">
        <is>
          <t>Source PDF</t>
        </is>
      </c>
    </row>
    <row r="2">
      <c r="A2" s="3" t="inlineStr">
        <is>
          <t>2026-04-13</t>
        </is>
      </c>
      <c r="B2" s="3" t="inlineStr">
        <is>
          <t>「やまと姫マラソン2026inみつえ」会場設営等業務</t>
        </is>
      </c>
      <c r="C2" s="3" t="inlineStr">
        <is>
          <t>御杖村大字神末</t>
        </is>
      </c>
      <c r="D2" s="4" t="n">
        <v>2561591</v>
      </c>
      <c r="E2" s="3" t="inlineStr">
        <is>
          <t>(株)ヘッド・クォーターズ</t>
        </is>
      </c>
      <c r="F2" s="4" t="n">
        <v>2250000</v>
      </c>
      <c r="G2" s="5">
        <f>IF(F2="","",F2/D2)</f>
        <v/>
      </c>
      <c r="H2" s="3" t="inlineStr">
        <is>
          <t>落札</t>
        </is>
      </c>
      <c r="I2" s="3" t="inlineStr">
        <is>
          <t>ekimukekka_20260413.pdf</t>
        </is>
      </c>
    </row>
    <row r="3">
      <c r="A3" s="3" t="inlineStr">
        <is>
          <t>2026-04-13</t>
        </is>
      </c>
      <c r="B3" s="3" t="inlineStr">
        <is>
          <t>令和7年度補正 御杖村地籍調査測量等業務 土屋原第4地区(C,E1工程)</t>
        </is>
      </c>
      <c r="C3" s="3" t="inlineStr">
        <is>
          <t>御杖村大字土屋原</t>
        </is>
      </c>
      <c r="D3" s="4" t="n">
        <v>2400000</v>
      </c>
      <c r="E3" s="3" t="inlineStr">
        <is>
          <t>ジオテクニカル株式会社</t>
        </is>
      </c>
      <c r="F3" s="4" t="n">
        <v>2100000</v>
      </c>
      <c r="G3" s="5">
        <f>IF(F3="","",F3/D3)</f>
        <v/>
      </c>
      <c r="H3" s="3" t="inlineStr">
        <is>
          <t>落札</t>
        </is>
      </c>
      <c r="I3" s="3" t="inlineStr">
        <is>
          <t>ekimukekka_20260413.pdf</t>
        </is>
      </c>
    </row>
    <row r="4">
      <c r="A4" s="2" t="inlineStr">
        <is>
          <t>2026-04-13</t>
        </is>
      </c>
      <c r="B4" s="2" t="inlineStr">
        <is>
          <t>(same)</t>
        </is>
      </c>
      <c r="C4" s="2" t="inlineStr">
        <is>
          <t>(same)</t>
        </is>
      </c>
      <c r="D4" s="6" t="n">
        <v>2400000</v>
      </c>
      <c r="E4" s="2" t="inlineStr">
        <is>
          <t>株式会社上智</t>
        </is>
      </c>
      <c r="F4" s="6" t="n">
        <v>2280000</v>
      </c>
      <c r="G4" s="7">
        <f>IF(F4="","",F4/D4)</f>
        <v/>
      </c>
      <c r="H4" s="2" t="inlineStr"/>
      <c r="I4" s="2" t="inlineStr">
        <is>
          <t>ekimukekka_20260413.pdf</t>
        </is>
      </c>
    </row>
    <row r="5">
      <c r="A5" s="2" t="inlineStr">
        <is>
          <t>2026-04-13</t>
        </is>
      </c>
      <c r="B5" s="2" t="inlineStr">
        <is>
          <t>(same)</t>
        </is>
      </c>
      <c r="C5" s="2" t="inlineStr">
        <is>
          <t>(same)</t>
        </is>
      </c>
      <c r="D5" s="6" t="n">
        <v>2400000</v>
      </c>
      <c r="E5" s="2" t="inlineStr">
        <is>
          <t>南海測量設計株式会社</t>
        </is>
      </c>
      <c r="F5" s="6" t="n">
        <v>2280000</v>
      </c>
      <c r="G5" s="7">
        <f>IF(F5="","",F5/D5)</f>
        <v/>
      </c>
      <c r="H5" s="2" t="inlineStr"/>
      <c r="I5" s="2" t="inlineStr">
        <is>
          <t>ekimukekka_20260413.pdf</t>
        </is>
      </c>
    </row>
    <row r="6">
      <c r="A6" s="2" t="inlineStr">
        <is>
          <t>2026-04-13</t>
        </is>
      </c>
      <c r="B6" s="2" t="inlineStr">
        <is>
          <t>(same)</t>
        </is>
      </c>
      <c r="C6" s="2" t="inlineStr">
        <is>
          <t>(same)</t>
        </is>
      </c>
      <c r="D6" s="6" t="n">
        <v>2400000</v>
      </c>
      <c r="E6" s="2" t="inlineStr">
        <is>
          <t>株式会社松本コンサルタント</t>
        </is>
      </c>
      <c r="F6" s="6" t="n">
        <v>2300000</v>
      </c>
      <c r="G6" s="7">
        <f>IF(F6="","",F6/D6)</f>
        <v/>
      </c>
      <c r="H6" s="2" t="inlineStr"/>
      <c r="I6" s="2" t="inlineStr">
        <is>
          <t>ekimukekka_20260413.pdf</t>
        </is>
      </c>
    </row>
    <row r="7">
      <c r="A7" s="2" t="inlineStr">
        <is>
          <t>2026-04-13</t>
        </is>
      </c>
      <c r="B7" s="2" t="inlineStr">
        <is>
          <t>(same)</t>
        </is>
      </c>
      <c r="C7" s="2" t="inlineStr">
        <is>
          <t>(same)</t>
        </is>
      </c>
      <c r="D7" s="6" t="n">
        <v>2400000</v>
      </c>
      <c r="E7" s="2" t="inlineStr">
        <is>
          <t>写測エンジニアリング株式会社</t>
        </is>
      </c>
      <c r="F7" s="6" t="n">
        <v>2350000</v>
      </c>
      <c r="G7" s="7">
        <f>IF(F7="","",F7/D7)</f>
        <v/>
      </c>
      <c r="H7" s="2" t="inlineStr"/>
      <c r="I7" s="2" t="inlineStr">
        <is>
          <t>ekimukekka_20260413.pdf</t>
        </is>
      </c>
    </row>
    <row r="8">
      <c r="A8" s="2" t="inlineStr">
        <is>
          <t>2026-04-13</t>
        </is>
      </c>
      <c r="B8" s="2" t="inlineStr">
        <is>
          <t>(same)</t>
        </is>
      </c>
      <c r="C8" s="2" t="inlineStr">
        <is>
          <t>(same)</t>
        </is>
      </c>
      <c r="D8" s="6" t="n">
        <v>2400000</v>
      </c>
      <c r="E8" s="2" t="inlineStr">
        <is>
          <t>株式会社共同技術コンサルタント</t>
        </is>
      </c>
      <c r="F8" s="6" t="n">
        <v>2400000</v>
      </c>
      <c r="G8" s="7">
        <f>IF(F8="","",F8/D8)</f>
        <v/>
      </c>
      <c r="H8" s="2" t="inlineStr"/>
      <c r="I8" s="2" t="inlineStr">
        <is>
          <t>ekimukekka_20260413.pdf</t>
        </is>
      </c>
    </row>
    <row r="9">
      <c r="A9" s="3" t="inlineStr">
        <is>
          <t>2026-05-22</t>
        </is>
      </c>
      <c r="B9" s="3" t="inlineStr">
        <is>
          <t>庁舎・公共施設2施設の電力供給</t>
        </is>
      </c>
      <c r="C9" s="3" t="inlineStr">
        <is>
          <t>役場庁舎ほか</t>
        </is>
      </c>
      <c r="D9" s="4" t="n">
        <v>12599210</v>
      </c>
      <c r="E9" s="3" t="inlineStr">
        <is>
          <t>株式会社FPS</t>
        </is>
      </c>
      <c r="F9" s="4" t="n">
        <v>11180224</v>
      </c>
      <c r="G9" s="5">
        <f>IF(F9="","",F9/D9)</f>
        <v/>
      </c>
      <c r="H9" s="3" t="inlineStr">
        <is>
          <t>落札</t>
        </is>
      </c>
      <c r="I9" s="3" t="inlineStr">
        <is>
          <t>ekimukekka_20260522.pdf</t>
        </is>
      </c>
    </row>
    <row r="10">
      <c r="A10" s="3" t="inlineStr">
        <is>
          <t>2026-05-22</t>
        </is>
      </c>
      <c r="B10" s="3" t="inlineStr">
        <is>
          <t>岡田の谷の半夏生園 用地測量業務</t>
        </is>
      </c>
      <c r="C10" s="3" t="inlineStr">
        <is>
          <t>御杖村大字神末2655番地他</t>
        </is>
      </c>
      <c r="D10" s="4" t="n">
        <v>3080000</v>
      </c>
      <c r="E10" s="3" t="inlineStr">
        <is>
          <t>株式会社井上測量設計事務所</t>
        </is>
      </c>
      <c r="F10" s="4" t="n">
        <v>3050000</v>
      </c>
      <c r="G10" s="5">
        <f>IF(F10="","",F10/D10)</f>
        <v/>
      </c>
      <c r="H10" s="3" t="inlineStr">
        <is>
          <t>落札</t>
        </is>
      </c>
      <c r="I10" s="3" t="inlineStr">
        <is>
          <t>ekimukekka_20260522.pdf</t>
        </is>
      </c>
    </row>
    <row r="11">
      <c r="A11" s="3" t="inlineStr">
        <is>
          <t>2026-05-26</t>
        </is>
      </c>
      <c r="B11" s="3" t="inlineStr">
        <is>
          <t>令和8年度 御杖村森林地番図作成業務</t>
        </is>
      </c>
      <c r="C11" s="3" t="inlineStr">
        <is>
          <t>桃俣(70-89林班の一部)</t>
        </is>
      </c>
      <c r="D11" s="4" t="n">
        <v>18180000</v>
      </c>
      <c r="E11" s="3" t="inlineStr">
        <is>
          <t>写測エンジニアリング株式会社 奈良営業所</t>
        </is>
      </c>
      <c r="F11" s="4" t="n">
        <v>16360000</v>
      </c>
      <c r="G11" s="5">
        <f>IF(F11="","",F11/D11)</f>
        <v/>
      </c>
      <c r="H11" s="3" t="inlineStr">
        <is>
          <t>落札</t>
        </is>
      </c>
      <c r="I11" s="3" t="inlineStr">
        <is>
          <t>ekimukekka_20260526.pdf</t>
        </is>
      </c>
    </row>
    <row r="12">
      <c r="A12" s="3" t="inlineStr">
        <is>
          <t>2026-05-26</t>
        </is>
      </c>
      <c r="B12" s="3" t="inlineStr">
        <is>
          <t>LGWAN系PC調達事業</t>
        </is>
      </c>
      <c r="C12" s="3" t="inlineStr">
        <is>
          <t>菅野368</t>
        </is>
      </c>
      <c r="D12" s="4" t="n">
        <v>30409500</v>
      </c>
      <c r="E12" s="3" t="inlineStr">
        <is>
          <t>キステム株式会社 奈良本社</t>
        </is>
      </c>
      <c r="F12" s="4" t="n">
        <v>29800000</v>
      </c>
      <c r="G12" s="5">
        <f>IF(F12="","",F12/D12)</f>
        <v/>
      </c>
      <c r="H12" s="3" t="inlineStr">
        <is>
          <t>落札</t>
        </is>
      </c>
      <c r="I12" s="3" t="inlineStr">
        <is>
          <t>ekimukekka_20260526.pdf</t>
        </is>
      </c>
    </row>
    <row r="13">
      <c r="A13" s="3" t="inlineStr">
        <is>
          <t>2026-06-25</t>
        </is>
      </c>
      <c r="B13" s="3" t="inlineStr">
        <is>
          <t>消防団屯所現況調査及び耐震診断業務</t>
        </is>
      </c>
      <c r="C13" s="3" t="inlineStr">
        <is>
          <t>村内</t>
        </is>
      </c>
      <c r="D13" s="4" t="n">
        <v>5535000</v>
      </c>
      <c r="E13" s="3" t="inlineStr">
        <is>
          <t>小林建築事務所</t>
        </is>
      </c>
      <c r="F13" s="4" t="n">
        <v>5535000</v>
      </c>
      <c r="G13" s="5">
        <f>IF(F13="","",F13/D13)</f>
        <v/>
      </c>
      <c r="H13" s="3" t="inlineStr">
        <is>
          <t>落札</t>
        </is>
      </c>
      <c r="I13" s="3" t="inlineStr">
        <is>
          <t>ekimukekka_20260625.pdf</t>
        </is>
      </c>
    </row>
    <row r="14">
      <c r="A14" s="3" t="inlineStr">
        <is>
          <t>2026-07-01</t>
        </is>
      </c>
      <c r="B14" s="3" t="inlineStr">
        <is>
          <t>菅野浄水場流出管更新検討業務</t>
        </is>
      </c>
      <c r="C14" s="3" t="inlineStr">
        <is>
          <t>菅野</t>
        </is>
      </c>
      <c r="D14" s="4" t="n">
        <v>2490000</v>
      </c>
      <c r="E14" s="3" t="inlineStr">
        <is>
          <t>株式会社潮技術コンサルタント</t>
        </is>
      </c>
      <c r="F14" s="4" t="n">
        <v>2300000</v>
      </c>
      <c r="G14" s="5">
        <f>IF(F14="","",F14/D14)</f>
        <v/>
      </c>
      <c r="H14" s="3" t="inlineStr">
        <is>
          <t>落札</t>
        </is>
      </c>
      <c r="I14" s="3" t="inlineStr">
        <is>
          <t>ekimukekka_20260701.pdf</t>
        </is>
      </c>
    </row>
    <row r="15">
      <c r="A15" s="3" t="inlineStr">
        <is>
          <t>2026-07-23</t>
        </is>
      </c>
      <c r="B15" s="3" t="inlineStr">
        <is>
          <t>村道高見線 災害防除調査及び測量設計</t>
        </is>
      </c>
      <c r="C15" s="3" t="inlineStr">
        <is>
          <t>桃俣</t>
        </is>
      </c>
      <c r="D15" s="4" t="n">
        <v>5700000</v>
      </c>
      <c r="E15" s="3" t="inlineStr">
        <is>
          <t>株式会社浪速技研コンサルタント</t>
        </is>
      </c>
      <c r="F15" s="4" t="n">
        <v>5100000</v>
      </c>
      <c r="G15" s="5">
        <f>IF(F15="","",F15/D15)</f>
        <v/>
      </c>
      <c r="H15" s="3" t="inlineStr">
        <is>
          <t>落札</t>
        </is>
      </c>
      <c r="I15" s="3" t="inlineStr">
        <is>
          <t>ekimukekka_20260723.pdf</t>
        </is>
      </c>
    </row>
    <row r="16">
      <c r="A16" s="2" t="inlineStr">
        <is>
          <t>2026-07-23</t>
        </is>
      </c>
      <c r="B16" s="2" t="inlineStr">
        <is>
          <t>(same)</t>
        </is>
      </c>
      <c r="C16" s="2" t="inlineStr">
        <is>
          <t>(same)</t>
        </is>
      </c>
      <c r="D16" s="6" t="n">
        <v>5700000</v>
      </c>
      <c r="E16" s="2" t="inlineStr">
        <is>
          <t>株式会社新土木開発コンサルタント</t>
        </is>
      </c>
      <c r="F16" s="6" t="n">
        <v>5500000</v>
      </c>
      <c r="G16" s="7">
        <f>IF(F16="","",F16/D16)</f>
        <v/>
      </c>
      <c r="H16" s="2" t="inlineStr"/>
      <c r="I16" s="2" t="inlineStr">
        <is>
          <t>ekimukekka_20260723.pdf</t>
        </is>
      </c>
    </row>
    <row r="17">
      <c r="A17" s="2" t="inlineStr">
        <is>
          <t>2026-07-23</t>
        </is>
      </c>
      <c r="B17" s="2" t="inlineStr">
        <is>
          <t>(same)</t>
        </is>
      </c>
      <c r="C17" s="2" t="inlineStr">
        <is>
          <t>(same)</t>
        </is>
      </c>
      <c r="D17" s="6" t="n">
        <v>5700000</v>
      </c>
      <c r="E17" s="2" t="inlineStr">
        <is>
          <t>株式会社東光コンサルタンツ</t>
        </is>
      </c>
      <c r="F17" s="6" t="n">
        <v>5690000</v>
      </c>
      <c r="G17" s="7">
        <f>IF(F17="","",F17/D17)</f>
        <v/>
      </c>
      <c r="H17" s="2" t="inlineStr"/>
      <c r="I17" s="2" t="inlineStr">
        <is>
          <t>ekimukekka_20260723.pdf</t>
        </is>
      </c>
    </row>
    <row r="18">
      <c r="A18" s="3" t="inlineStr">
        <is>
          <t>2026-07-23</t>
        </is>
      </c>
      <c r="B18" s="3" t="inlineStr">
        <is>
          <t>村道白髪線拡幅改良に伴う測量及び設計</t>
        </is>
      </c>
      <c r="C18" s="3" t="inlineStr">
        <is>
          <t>菅野</t>
        </is>
      </c>
      <c r="D18" s="4" t="n">
        <v>5990000</v>
      </c>
      <c r="E18" s="3" t="inlineStr">
        <is>
          <t>株式会社浪速技研コンサルタント</t>
        </is>
      </c>
      <c r="F18" s="4" t="n">
        <v>2950000</v>
      </c>
      <c r="G18" s="5">
        <f>IF(F18="","",F18/D18)</f>
        <v/>
      </c>
      <c r="H18" s="3" t="inlineStr">
        <is>
          <t>落札</t>
        </is>
      </c>
      <c r="I18" s="3" t="inlineStr">
        <is>
          <t>ekimukekka_20260723.pdf</t>
        </is>
      </c>
    </row>
    <row r="19">
      <c r="A19" s="2" t="inlineStr">
        <is>
          <t>2026-07-23</t>
        </is>
      </c>
      <c r="B19" s="2" t="inlineStr">
        <is>
          <t>(same)</t>
        </is>
      </c>
      <c r="C19" s="2" t="inlineStr">
        <is>
          <t>(same)</t>
        </is>
      </c>
      <c r="D19" s="6" t="n">
        <v>5990000</v>
      </c>
      <c r="E19" s="2" t="inlineStr">
        <is>
          <t>株式会社ノア技術コンサルタント</t>
        </is>
      </c>
      <c r="F19" s="6" t="n">
        <v>2980000</v>
      </c>
      <c r="G19" s="7">
        <f>IF(F19="","",F19/D19)</f>
        <v/>
      </c>
      <c r="H19" s="2" t="inlineStr"/>
      <c r="I19" s="2" t="inlineStr">
        <is>
          <t>ekimukekka_20260723.pdf</t>
        </is>
      </c>
    </row>
    <row r="20">
      <c r="A20" s="2" t="inlineStr">
        <is>
          <t>2026-07-23</t>
        </is>
      </c>
      <c r="B20" s="2" t="inlineStr">
        <is>
          <t>(same)</t>
        </is>
      </c>
      <c r="C20" s="2" t="inlineStr">
        <is>
          <t>(same)</t>
        </is>
      </c>
      <c r="D20" s="6" t="n">
        <v>5990000</v>
      </c>
      <c r="E20" s="2" t="inlineStr">
        <is>
          <t>株式会社日本インシーク</t>
        </is>
      </c>
      <c r="F20" s="6" t="n">
        <v>3438000</v>
      </c>
      <c r="G20" s="7">
        <f>IF(F20="","",F20/D20)</f>
        <v/>
      </c>
      <c r="H20" s="2" t="inlineStr"/>
      <c r="I20" s="2" t="inlineStr">
        <is>
          <t>ekimukekka_20260723.pdf</t>
        </is>
      </c>
    </row>
    <row r="21">
      <c r="A21" s="2" t="inlineStr">
        <is>
          <t>2026-07-23</t>
        </is>
      </c>
      <c r="B21" s="2" t="inlineStr">
        <is>
          <t>(same)</t>
        </is>
      </c>
      <c r="C21" s="2" t="inlineStr">
        <is>
          <t>(same)</t>
        </is>
      </c>
      <c r="D21" s="6" t="n">
        <v>5990000</v>
      </c>
      <c r="E21" s="2" t="inlineStr">
        <is>
          <t>写測エンジニアリング株式会社</t>
        </is>
      </c>
      <c r="F21" s="6" t="n">
        <v>3560000</v>
      </c>
      <c r="G21" s="7">
        <f>IF(F21="","",F21/D21)</f>
        <v/>
      </c>
      <c r="H21" s="2" t="inlineStr"/>
      <c r="I21" s="2" t="inlineStr">
        <is>
          <t>ekimukekka_20260723.pdf</t>
        </is>
      </c>
    </row>
    <row r="22">
      <c r="A22" s="2" t="inlineStr">
        <is>
          <t>2026-07-23</t>
        </is>
      </c>
      <c r="B22" s="2" t="inlineStr">
        <is>
          <t>(same)</t>
        </is>
      </c>
      <c r="C22" s="2" t="inlineStr">
        <is>
          <t>(same)</t>
        </is>
      </c>
      <c r="D22" s="6" t="n">
        <v>5990000</v>
      </c>
      <c r="E22" s="2" t="inlineStr">
        <is>
          <t>株式会社共同技術コンサルタント</t>
        </is>
      </c>
      <c r="F22" s="6" t="n">
        <v>4900000</v>
      </c>
      <c r="G22" s="7">
        <f>IF(F22="","",F22/D22)</f>
        <v/>
      </c>
      <c r="H22" s="2" t="inlineStr"/>
      <c r="I22" s="2" t="inlineStr">
        <is>
          <t>ekimukekka_20260723.pdf</t>
        </is>
      </c>
    </row>
    <row r="23">
      <c r="A23" s="3" t="inlineStr">
        <is>
          <t>2026-08-10</t>
        </is>
      </c>
      <c r="B23" s="3" t="inlineStr">
        <is>
          <t>令和8年度高齢者学級事業(tax-incl. reserve ¥2,082,500)</t>
        </is>
      </c>
      <c r="C23" s="3" t="inlineStr">
        <is>
          <t>滋賀県内</t>
        </is>
      </c>
      <c r="D23" s="4" t="n">
        <v>2082500</v>
      </c>
      <c r="E23" s="3" t="inlineStr">
        <is>
          <t>株式会社ロイヤルツーリスト</t>
        </is>
      </c>
      <c r="F23" s="4" t="n">
        <v>1950500</v>
      </c>
      <c r="G23" s="5">
        <f>IF(F23="","",F23/D23)</f>
        <v/>
      </c>
      <c r="H23" s="3" t="inlineStr">
        <is>
          <t>落札</t>
        </is>
      </c>
      <c r="I23" s="3" t="inlineStr">
        <is>
          <t>ekimukekka_20260810.pdf</t>
        </is>
      </c>
    </row>
    <row r="24">
      <c r="A24" s="2" t="inlineStr">
        <is>
          <t>2026-08-10</t>
        </is>
      </c>
      <c r="B24" s="2" t="inlineStr">
        <is>
          <t>(same)</t>
        </is>
      </c>
      <c r="C24" s="2" t="inlineStr">
        <is>
          <t>(same)</t>
        </is>
      </c>
      <c r="D24" s="6" t="n">
        <v>2082500</v>
      </c>
      <c r="E24" s="2" t="inlineStr">
        <is>
          <t>株式会社農協観光</t>
        </is>
      </c>
      <c r="F24" s="6" t="n">
        <v>2022800</v>
      </c>
      <c r="G24" s="7">
        <f>IF(F24="","",F24/D24)</f>
        <v/>
      </c>
      <c r="H24" s="2" t="inlineStr"/>
      <c r="I24" s="2" t="inlineStr">
        <is>
          <t>ekimukekka_20260810.pdf</t>
        </is>
      </c>
    </row>
    <row r="25">
      <c r="A25" s="3" t="inlineStr">
        <is>
          <t>2026-09-04</t>
        </is>
      </c>
      <c r="B25" s="3" t="inlineStr">
        <is>
          <t>村道畑井笹及線 舗装修繕調査及び設計</t>
        </is>
      </c>
      <c r="C25" s="3" t="inlineStr">
        <is>
          <t>土屋原</t>
        </is>
      </c>
      <c r="D25" s="4" t="n">
        <v>6780000</v>
      </c>
      <c r="E25" s="3" t="inlineStr">
        <is>
          <t>株式会社新土木開発コンサルタント</t>
        </is>
      </c>
      <c r="F25" s="4" t="n">
        <v>3799000</v>
      </c>
      <c r="G25" s="5">
        <f>IF(F25="","",F25/D25)</f>
        <v/>
      </c>
      <c r="H25" s="3" t="inlineStr">
        <is>
          <t>落札</t>
        </is>
      </c>
      <c r="I25" s="3" t="inlineStr">
        <is>
          <t>ekimukekka_20260904.pdf</t>
        </is>
      </c>
    </row>
    <row r="26">
      <c r="A26" s="2" t="inlineStr">
        <is>
          <t>2026-09-04</t>
        </is>
      </c>
      <c r="B26" s="2" t="inlineStr">
        <is>
          <t>(same)</t>
        </is>
      </c>
      <c r="C26" s="2" t="inlineStr">
        <is>
          <t>(same)</t>
        </is>
      </c>
      <c r="D26" s="6" t="n">
        <v>6780000</v>
      </c>
      <c r="E26" s="2" t="inlineStr">
        <is>
          <t>株式会社ノア技術コンサルタント</t>
        </is>
      </c>
      <c r="F26" s="6" t="n">
        <v>4570000</v>
      </c>
      <c r="G26" s="7">
        <f>IF(F26="","",F26/D26)</f>
        <v/>
      </c>
      <c r="H26" s="2" t="inlineStr"/>
      <c r="I26" s="2" t="inlineStr">
        <is>
          <t>ekimukekka_20260904.pdf</t>
        </is>
      </c>
    </row>
    <row r="27">
      <c r="A27" s="2" t="inlineStr">
        <is>
          <t>2026-09-04</t>
        </is>
      </c>
      <c r="B27" s="2" t="inlineStr">
        <is>
          <t>(same)</t>
        </is>
      </c>
      <c r="C27" s="2" t="inlineStr">
        <is>
          <t>(same)</t>
        </is>
      </c>
      <c r="D27" s="6" t="n">
        <v>6780000</v>
      </c>
      <c r="E27" s="2" t="inlineStr">
        <is>
          <t>株式会社ISC</t>
        </is>
      </c>
      <c r="F27" s="6" t="n">
        <v>4678000</v>
      </c>
      <c r="G27" s="7">
        <f>IF(F27="","",F27/D27)</f>
        <v/>
      </c>
      <c r="H27" s="2" t="inlineStr"/>
      <c r="I27" s="2" t="inlineStr">
        <is>
          <t>ekimukekka_20260904.pdf</t>
        </is>
      </c>
    </row>
    <row r="28">
      <c r="A28" s="2" t="inlineStr">
        <is>
          <t>2026-09-04</t>
        </is>
      </c>
      <c r="B28" s="2" t="inlineStr">
        <is>
          <t>(same)</t>
        </is>
      </c>
      <c r="C28" s="2" t="inlineStr">
        <is>
          <t>(same)</t>
        </is>
      </c>
      <c r="D28" s="6" t="n">
        <v>6780000</v>
      </c>
      <c r="E28" s="2" t="inlineStr">
        <is>
          <t>株式会社エース</t>
        </is>
      </c>
      <c r="F28" s="6" t="n">
        <v>5000000</v>
      </c>
      <c r="G28" s="7">
        <f>IF(F28="","",F28/D28)</f>
        <v/>
      </c>
      <c r="H28" s="2" t="inlineStr"/>
      <c r="I28" s="2" t="inlineStr">
        <is>
          <t>ekimukekka_20260904.pdf</t>
        </is>
      </c>
    </row>
    <row r="29">
      <c r="A29" s="2" t="inlineStr">
        <is>
          <t>2026-09-04</t>
        </is>
      </c>
      <c r="B29" s="2" t="inlineStr">
        <is>
          <t>(same)</t>
        </is>
      </c>
      <c r="C29" s="2" t="inlineStr">
        <is>
          <t>(same)</t>
        </is>
      </c>
      <c r="D29" s="6" t="n">
        <v>6780000</v>
      </c>
      <c r="E29" s="2" t="inlineStr">
        <is>
          <t>株式会社シードコンサルタント</t>
        </is>
      </c>
      <c r="F29" s="6" t="n">
        <v>5650000</v>
      </c>
      <c r="G29" s="7">
        <f>IF(F29="","",F29/D29)</f>
        <v/>
      </c>
      <c r="H29" s="2" t="inlineStr"/>
      <c r="I29" s="2" t="inlineStr">
        <is>
          <t>ekimukekka_20260904.pdf</t>
        </is>
      </c>
    </row>
    <row r="30">
      <c r="A30" s="2" t="inlineStr">
        <is>
          <t>2026-09-04</t>
        </is>
      </c>
      <c r="B30" s="2" t="inlineStr">
        <is>
          <t>(same)</t>
        </is>
      </c>
      <c r="C30" s="2" t="inlineStr">
        <is>
          <t>(same)</t>
        </is>
      </c>
      <c r="D30" s="6" t="n">
        <v>6780000</v>
      </c>
      <c r="E30" s="2" t="inlineStr">
        <is>
          <t>株式会社浪速技研コンサルタント</t>
        </is>
      </c>
      <c r="F30" s="6" t="n">
        <v>6200000</v>
      </c>
      <c r="G30" s="7">
        <f>IF(F30="","",F30/D30)</f>
        <v/>
      </c>
      <c r="H30" s="2" t="inlineStr"/>
      <c r="I30" s="2" t="inlineStr">
        <is>
          <t>ekimukekka_20260904.pdf</t>
        </is>
      </c>
    </row>
    <row r="31">
      <c r="A31" s="2" t="inlineStr">
        <is>
          <t>2026-09-04</t>
        </is>
      </c>
      <c r="B31" s="2" t="inlineStr">
        <is>
          <t>(same)</t>
        </is>
      </c>
      <c r="C31" s="2" t="inlineStr">
        <is>
          <t>(same)</t>
        </is>
      </c>
      <c r="D31" s="6" t="n">
        <v>6780000</v>
      </c>
      <c r="E31" s="2" t="inlineStr">
        <is>
          <t>株式会社東光コンサルタンツ</t>
        </is>
      </c>
      <c r="F31" s="6" t="n">
        <v>6780000</v>
      </c>
      <c r="G31" s="7">
        <f>IF(F31="","",F31/D31)</f>
        <v/>
      </c>
      <c r="H31" s="2" t="inlineStr"/>
      <c r="I31" s="2" t="inlineStr">
        <is>
          <t>ekimukekka_20260904.pdf</t>
        </is>
      </c>
    </row>
    <row r="32">
      <c r="A32" s="3" t="inlineStr">
        <is>
          <t>2026-09-04</t>
        </is>
      </c>
      <c r="B32" s="3" t="inlineStr">
        <is>
          <t>「ザ!雑巾ダッシュ!!2026inみつえ」会場設営等業務委託</t>
        </is>
      </c>
      <c r="C32" s="3" t="inlineStr">
        <is>
          <t>菅野</t>
        </is>
      </c>
      <c r="D32" s="4" t="n">
        <v>2209400</v>
      </c>
      <c r="E32" s="3" t="inlineStr">
        <is>
          <t>(株)ヘッド・クォーターズ</t>
        </is>
      </c>
      <c r="F32" s="4" t="n">
        <v>1900000</v>
      </c>
      <c r="G32" s="5">
        <f>IF(F32="","",F32/D32)</f>
        <v/>
      </c>
      <c r="H32" s="3" t="inlineStr">
        <is>
          <t>落札</t>
        </is>
      </c>
      <c r="I32" s="3" t="inlineStr">
        <is>
          <t>ekimukekka_20260904.pdf</t>
        </is>
      </c>
    </row>
    <row r="33">
      <c r="A33" s="8" t="inlineStr">
        <is>
          <t>2026-09-18</t>
        </is>
      </c>
      <c r="B33" s="8" t="inlineStr">
        <is>
          <t>令和8年度 御杖村施業放置林整備事業 *FORESTRY*</t>
        </is>
      </c>
      <c r="C33" s="8" t="inlineStr">
        <is>
          <t>神末字アマガヒラ2480番ほか25箇所</t>
        </is>
      </c>
      <c r="D33" s="9" t="n">
        <v>18948000</v>
      </c>
      <c r="E33" s="8" t="inlineStr">
        <is>
          <t>御杖村森林組合</t>
        </is>
      </c>
      <c r="F33" s="9" t="n">
        <v>18700000</v>
      </c>
      <c r="G33" s="10">
        <f>IF(F33="","",F33/D33)</f>
        <v/>
      </c>
      <c r="H33" s="8" t="inlineStr">
        <is>
          <t>落札</t>
        </is>
      </c>
      <c r="I33" s="8" t="inlineStr">
        <is>
          <t>ekimukekka_20260918.pdf</t>
        </is>
      </c>
    </row>
    <row r="34">
      <c r="A34" s="2" t="inlineStr">
        <is>
          <t>2026-09-18</t>
        </is>
      </c>
      <c r="B34" s="2" t="inlineStr">
        <is>
          <t>(same)</t>
        </is>
      </c>
      <c r="C34" s="2" t="inlineStr">
        <is>
          <t>(same)</t>
        </is>
      </c>
      <c r="D34" s="6" t="n">
        <v>18948000</v>
      </c>
      <c r="E34" s="2" t="inlineStr">
        <is>
          <t>室生村森林組合</t>
        </is>
      </c>
      <c r="F34" s="6" t="n">
        <v>18800000</v>
      </c>
      <c r="G34" s="7">
        <f>IF(F34="","",F34/D34)</f>
        <v/>
      </c>
      <c r="H34" s="2" t="inlineStr"/>
      <c r="I34" s="2" t="inlineStr">
        <is>
          <t>ekimukekka_20260918.pdf</t>
        </is>
      </c>
    </row>
    <row r="35">
      <c r="A35" s="2" t="inlineStr">
        <is>
          <t>2026-09-18</t>
        </is>
      </c>
      <c r="B35" s="2" t="inlineStr">
        <is>
          <t>(same)</t>
        </is>
      </c>
      <c r="C35" s="2" t="inlineStr">
        <is>
          <t>(same)</t>
        </is>
      </c>
      <c r="D35" s="6" t="n">
        <v>18948000</v>
      </c>
      <c r="E35" s="2" t="inlineStr">
        <is>
          <t>宇陀市森林組合</t>
        </is>
      </c>
      <c r="F35" s="6" t="n">
        <v>18900000</v>
      </c>
      <c r="G35" s="7">
        <f>IF(F35="","",F35/D35)</f>
        <v/>
      </c>
      <c r="H35" s="2" t="inlineStr"/>
      <c r="I35" s="2" t="inlineStr">
        <is>
          <t>ekimukekka_20260918.pdf</t>
        </is>
      </c>
    </row>
    <row r="36">
      <c r="A36" s="3" t="inlineStr">
        <is>
          <t>2026-10-15</t>
        </is>
      </c>
      <c r="B36" s="3" t="inlineStr">
        <is>
          <t>神末浄水場 NO.2取水ポンプ取替業務</t>
        </is>
      </c>
      <c r="C36" s="3" t="inlineStr">
        <is>
          <t>神末</t>
        </is>
      </c>
      <c r="D36" s="4" t="n">
        <v>1315000</v>
      </c>
      <c r="E36" s="3" t="inlineStr">
        <is>
          <t>向洋電機株式会社</t>
        </is>
      </c>
      <c r="F36" s="4" t="n">
        <v>1280000</v>
      </c>
      <c r="G36" s="5">
        <f>IF(F36="","",F36/D36)</f>
        <v/>
      </c>
      <c r="H36" s="3" t="inlineStr">
        <is>
          <t>落札</t>
        </is>
      </c>
      <c r="I36" s="3" t="inlineStr">
        <is>
          <t>ekimukekka_20261015.pdf</t>
        </is>
      </c>
    </row>
    <row r="37">
      <c r="A37" s="2" t="inlineStr">
        <is>
          <t>2026-10-15</t>
        </is>
      </c>
      <c r="B37" s="2" t="inlineStr">
        <is>
          <t>(same)</t>
        </is>
      </c>
      <c r="C37" s="2" t="inlineStr">
        <is>
          <t>(same)</t>
        </is>
      </c>
      <c r="D37" s="6" t="n">
        <v>1315000</v>
      </c>
      <c r="E37" s="2" t="inlineStr">
        <is>
          <t>吉田機電株式会社</t>
        </is>
      </c>
      <c r="F37" s="6" t="inlineStr"/>
      <c r="G37" s="7">
        <f>IF(F37="","",F37/D37)</f>
        <v/>
      </c>
      <c r="H37" s="2" t="inlineStr">
        <is>
          <t>入札辞退</t>
        </is>
      </c>
      <c r="I37" s="2" t="inlineStr">
        <is>
          <t>ekimukekka_20261015.pdf</t>
        </is>
      </c>
    </row>
    <row r="39">
      <c r="A39" t="inlineStr">
        <is>
          <t>Note: 一般競争/指名競争 type is circled in the PDF and is not readable from text. Source base URL: https://www.vill.mitsue.nara.jp/material/files/group/10/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8" customWidth="1" min="4" max="4"/>
    <col width="40" customWidth="1" min="5" max="5"/>
    <col width="14" customWidth="1" min="6" max="6"/>
    <col width="12" customWidth="1" min="7" max="7"/>
    <col width="14" customWidth="1" min="8" max="8"/>
    <col width="22" customWidth="1" min="9" max="9"/>
  </cols>
  <sheetData>
    <row r="1">
      <c r="A1" s="1" t="inlineStr">
        <is>
          <t>Bid date</t>
        </is>
      </c>
      <c r="B1" s="1" t="inlineStr">
        <is>
          <t>Project (業務名)</t>
        </is>
      </c>
      <c r="C1" s="1" t="inlineStr">
        <is>
          <t>Location</t>
        </is>
      </c>
      <c r="D1" s="1" t="inlineStr">
        <is>
          <t>Reserve price ¥ (予定価格, tax-excl. unless noted)</t>
        </is>
      </c>
      <c r="E1" s="1" t="inlineStr">
        <is>
          <t>Bidder</t>
        </is>
      </c>
      <c r="F1" s="1" t="inlineStr">
        <is>
          <t>Bid ¥</t>
        </is>
      </c>
      <c r="G1" s="1" t="inlineStr">
        <is>
          <t>Bid / reserve</t>
        </is>
      </c>
      <c r="H1" s="1" t="inlineStr">
        <is>
          <t>Result</t>
        </is>
      </c>
      <c r="I1" s="1" t="inlineStr">
        <is>
          <t>Source PDF</t>
        </is>
      </c>
    </row>
    <row r="2">
      <c r="A2" t="inlineStr">
        <is>
          <t>2026-04-10</t>
        </is>
      </c>
      <c r="B2" t="inlineStr">
        <is>
          <t>みつえ青少年旅行村             ウッドデッキ改築工事</t>
        </is>
      </c>
      <c r="C2" t="inlineStr">
        <is>
          <t>御杖村大字神末1790番地 みつえ青少年旅行村</t>
        </is>
      </c>
      <c r="D2" s="14" t="n">
        <v>4149200</v>
      </c>
      <c r="E2" t="inlineStr">
        <is>
          <t>株式会社 立花商会 代表取締役 立花 正富</t>
        </is>
      </c>
      <c r="F2" s="14" t="n">
        <v>4000000</v>
      </c>
      <c r="G2" s="13">
        <f>IF(F2="","",F2/D2)</f>
        <v/>
      </c>
      <c r="H2" t="inlineStr">
        <is>
          <t>落札</t>
        </is>
      </c>
      <c r="I2" t="inlineStr">
        <is>
          <t>kekka_20260410.pdf</t>
        </is>
      </c>
    </row>
    <row r="3">
      <c r="A3" t="inlineStr">
        <is>
          <t>2026-04-10</t>
        </is>
      </c>
      <c r="B3" t="inlineStr">
        <is>
          <t>(same)</t>
        </is>
      </c>
      <c r="C3" t="inlineStr">
        <is>
          <t>(same)</t>
        </is>
      </c>
      <c r="D3" s="14" t="n">
        <v>4149200</v>
      </c>
      <c r="E3" t="inlineStr">
        <is>
          <t>中村建築 中村 公</t>
        </is>
      </c>
      <c r="F3" s="14" t="n">
        <v>4140000</v>
      </c>
      <c r="G3" s="13">
        <f>IF(F3="","",F3/D3)</f>
        <v/>
      </c>
      <c r="I3" t="inlineStr">
        <is>
          <t>kekka_20260410.pdf</t>
        </is>
      </c>
    </row>
    <row r="4">
      <c r="A4" t="inlineStr">
        <is>
          <t>2026-04-10</t>
        </is>
      </c>
      <c r="B4" t="inlineStr">
        <is>
          <t>(same)</t>
        </is>
      </c>
      <c r="C4" t="inlineStr">
        <is>
          <t>(same)</t>
        </is>
      </c>
      <c r="D4" s="14" t="n">
        <v>4149200</v>
      </c>
      <c r="E4" t="inlineStr">
        <is>
          <t>株式会社 坂口組 代表取締役 坂口 明男</t>
        </is>
      </c>
      <c r="F4" s="14" t="n">
        <v>4200000</v>
      </c>
      <c r="G4" s="13">
        <f>IF(F4="","",F4/D4)</f>
        <v/>
      </c>
      <c r="I4" t="inlineStr">
        <is>
          <t>kekka_20260410.pdf</t>
        </is>
      </c>
    </row>
    <row r="5">
      <c r="A5" t="inlineStr">
        <is>
          <t>2026-04-10</t>
        </is>
      </c>
      <c r="B5" t="inlineStr">
        <is>
          <t>(same)</t>
        </is>
      </c>
      <c r="C5" t="inlineStr">
        <is>
          <t>(same)</t>
        </is>
      </c>
      <c r="D5" s="14" t="n">
        <v>4149200</v>
      </c>
      <c r="E5" t="inlineStr">
        <is>
          <t>株式会社 坂本総建 代表取締役 坂本 大輔</t>
        </is>
      </c>
      <c r="F5" s="14" t="n">
        <v>4200000</v>
      </c>
      <c r="G5" s="13">
        <f>IF(F5="","",F5/D5)</f>
        <v/>
      </c>
      <c r="I5" t="inlineStr">
        <is>
          <t>kekka_20260410.pdf</t>
        </is>
      </c>
    </row>
    <row r="6">
      <c r="A6" t="inlineStr">
        <is>
          <t>2026-05-22</t>
        </is>
      </c>
      <c r="B6" t="inlineStr">
        <is>
          <t>みつえ青少年旅行村新規サイト敷地整備工事</t>
        </is>
      </c>
      <c r="C6" t="inlineStr">
        <is>
          <t>御杖村大字神末 地内</t>
        </is>
      </c>
      <c r="D6" s="14" t="n">
        <v>70327000</v>
      </c>
      <c r="E6" t="inlineStr">
        <is>
          <t>（株）坂口組 代表取締役 坂口明男</t>
        </is>
      </c>
      <c r="F6" s="14" t="n">
        <v>67000000</v>
      </c>
      <c r="G6" s="13">
        <f>IF(F6="","",F6/D6)</f>
        <v/>
      </c>
      <c r="H6" t="inlineStr">
        <is>
          <t>落札</t>
        </is>
      </c>
      <c r="I6" t="inlineStr">
        <is>
          <t>kekka_20260522.pdf</t>
        </is>
      </c>
    </row>
    <row r="7">
      <c r="A7" t="inlineStr">
        <is>
          <t>2026-05-22</t>
        </is>
      </c>
      <c r="B7" t="inlineStr">
        <is>
          <t>(same)</t>
        </is>
      </c>
      <c r="C7" t="inlineStr">
        <is>
          <t>(same)</t>
        </is>
      </c>
      <c r="D7" s="14" t="n">
        <v>70327000</v>
      </c>
      <c r="E7" t="inlineStr">
        <is>
          <t>中嶋建設（株） 代表取締役 中嶋敏治</t>
        </is>
      </c>
      <c r="F7" s="14" t="n">
        <v>68650000</v>
      </c>
      <c r="G7" s="13">
        <f>IF(F7="","",F7/D7)</f>
        <v/>
      </c>
      <c r="I7" t="inlineStr">
        <is>
          <t>kekka_20260522.pdf</t>
        </is>
      </c>
    </row>
    <row r="8">
      <c r="A8" t="inlineStr">
        <is>
          <t>2026-05-22</t>
        </is>
      </c>
      <c r="B8" t="inlineStr">
        <is>
          <t>(same)</t>
        </is>
      </c>
      <c r="C8" t="inlineStr">
        <is>
          <t>(same)</t>
        </is>
      </c>
      <c r="D8" s="14" t="n">
        <v>70327000</v>
      </c>
      <c r="E8" t="inlineStr">
        <is>
          <t>（株）山田土木 代表取締役 山田浩之</t>
        </is>
      </c>
      <c r="F8" s="14" t="n">
        <v>69000000</v>
      </c>
      <c r="G8" s="13">
        <f>IF(F8="","",F8/D8)</f>
        <v/>
      </c>
      <c r="I8" t="inlineStr">
        <is>
          <t>kekka_20260522.pdf</t>
        </is>
      </c>
    </row>
    <row r="9">
      <c r="A9" t="inlineStr">
        <is>
          <t>2026-07-23</t>
        </is>
      </c>
      <c r="B9" t="inlineStr">
        <is>
          <t>御杖村保健センターＬＥＤ照明改修工事</t>
        </is>
      </c>
      <c r="C9" t="inlineStr">
        <is>
          <t>御杖村大字菅野１５８１ 御杖村保健センター</t>
        </is>
      </c>
      <c r="D9" s="14" t="n">
        <v>34211000</v>
      </c>
      <c r="E9" t="inlineStr">
        <is>
          <t>松田電気工業(株)</t>
        </is>
      </c>
      <c r="F9" s="14" t="n">
        <v>29500000</v>
      </c>
      <c r="G9" s="13">
        <f>IF(F9="","",F9/D9)</f>
        <v/>
      </c>
      <c r="H9" t="inlineStr">
        <is>
          <t>落札</t>
        </is>
      </c>
      <c r="I9" t="inlineStr">
        <is>
          <t>kekka_20260723.pdf</t>
        </is>
      </c>
    </row>
    <row r="10">
      <c r="A10" t="inlineStr">
        <is>
          <t>2026-07-23</t>
        </is>
      </c>
      <c r="B10" t="inlineStr">
        <is>
          <t>(same)</t>
        </is>
      </c>
      <c r="C10" t="inlineStr">
        <is>
          <t>(same)</t>
        </is>
      </c>
      <c r="D10" s="14" t="n">
        <v>34211000</v>
      </c>
      <c r="E10" t="inlineStr">
        <is>
          <t>(株)きんでん奈良支店</t>
        </is>
      </c>
      <c r="F10" s="14" t="n">
        <v>29800000</v>
      </c>
      <c r="G10" s="13">
        <f>IF(F10="","",F10/D10)</f>
        <v/>
      </c>
      <c r="I10" t="inlineStr">
        <is>
          <t>kekka_20260723.pdf</t>
        </is>
      </c>
    </row>
    <row r="11">
      <c r="A11" t="inlineStr">
        <is>
          <t>2026-07-23</t>
        </is>
      </c>
      <c r="B11" t="inlineStr">
        <is>
          <t>(same)</t>
        </is>
      </c>
      <c r="C11" t="inlineStr">
        <is>
          <t>(same)</t>
        </is>
      </c>
      <c r="D11" s="14" t="n">
        <v>34211000</v>
      </c>
      <c r="E11" t="inlineStr">
        <is>
          <t>吉田機電(株)</t>
        </is>
      </c>
      <c r="F11" s="14" t="n">
        <v>32500000</v>
      </c>
      <c r="G11" s="13">
        <f>IF(F11="","",F11/D11)</f>
        <v/>
      </c>
      <c r="I11" t="inlineStr">
        <is>
          <t>kekka_20260723.pdf</t>
        </is>
      </c>
    </row>
    <row r="12">
      <c r="A12" t="inlineStr">
        <is>
          <t>2026-07-23</t>
        </is>
      </c>
      <c r="B12" t="inlineStr">
        <is>
          <t>(same)</t>
        </is>
      </c>
      <c r="C12" t="inlineStr">
        <is>
          <t>(same)</t>
        </is>
      </c>
      <c r="D12" s="14" t="n">
        <v>34211000</v>
      </c>
      <c r="E12" t="inlineStr">
        <is>
          <t>奈良文庫電気設備(株)</t>
        </is>
      </c>
      <c r="F12" s="14" t="n">
        <v>32800000</v>
      </c>
      <c r="G12" s="13">
        <f>IF(F12="","",F12/D12)</f>
        <v/>
      </c>
      <c r="I12" t="inlineStr">
        <is>
          <t>kekka_20260723.pdf</t>
        </is>
      </c>
    </row>
    <row r="13">
      <c r="A13" t="inlineStr">
        <is>
          <t>2026-07-23</t>
        </is>
      </c>
      <c r="B13" t="inlineStr">
        <is>
          <t>(same)</t>
        </is>
      </c>
      <c r="C13" t="inlineStr">
        <is>
          <t>(same)</t>
        </is>
      </c>
      <c r="D13" s="14" t="n">
        <v>34211000</v>
      </c>
      <c r="E13" t="inlineStr">
        <is>
          <t>信貴商事(株)</t>
        </is>
      </c>
      <c r="F13" s="14" t="n">
        <v>35000000</v>
      </c>
      <c r="G13" s="13">
        <f>IF(F13="","",F13/D13)</f>
        <v/>
      </c>
      <c r="I13" t="inlineStr">
        <is>
          <t>kekka_20260723.pdf</t>
        </is>
      </c>
    </row>
    <row r="14">
      <c r="A14" t="inlineStr">
        <is>
          <t>2026-07-23</t>
        </is>
      </c>
      <c r="B14" t="inlineStr">
        <is>
          <t>御杖村山村開発センターＬＥＤ照明改修工事</t>
        </is>
      </c>
      <c r="C14" t="inlineStr">
        <is>
          <t>御杖村大字菅野３６８ 御杖村山村開発センター</t>
        </is>
      </c>
      <c r="D14" s="14" t="n">
        <v>27006000</v>
      </c>
      <c r="E14" t="inlineStr">
        <is>
          <t>(株)きんでん奈良支店</t>
        </is>
      </c>
      <c r="F14" s="14" t="n">
        <v>24800000</v>
      </c>
      <c r="G14" s="13">
        <f>IF(F14="","",F14/D14)</f>
        <v/>
      </c>
      <c r="H14" t="inlineStr">
        <is>
          <t>落札</t>
        </is>
      </c>
      <c r="I14" t="inlineStr">
        <is>
          <t>kekka_20260723.pdf</t>
        </is>
      </c>
    </row>
    <row r="15">
      <c r="A15" t="inlineStr">
        <is>
          <t>2026-07-23</t>
        </is>
      </c>
      <c r="B15" t="inlineStr">
        <is>
          <t>(same)</t>
        </is>
      </c>
      <c r="C15" t="inlineStr">
        <is>
          <t>(same)</t>
        </is>
      </c>
      <c r="D15" s="14" t="n">
        <v>27006000</v>
      </c>
      <c r="E15" t="inlineStr">
        <is>
          <t>松田電気工業(株)</t>
        </is>
      </c>
      <c r="F15" s="14" t="n">
        <v>25000000</v>
      </c>
      <c r="G15" s="13">
        <f>IF(F15="","",F15/D15)</f>
        <v/>
      </c>
      <c r="I15" t="inlineStr">
        <is>
          <t>kekka_20260723.pdf</t>
        </is>
      </c>
    </row>
    <row r="16">
      <c r="A16" t="inlineStr">
        <is>
          <t>2026-07-23</t>
        </is>
      </c>
      <c r="B16" t="inlineStr">
        <is>
          <t>(same)</t>
        </is>
      </c>
      <c r="C16" t="inlineStr">
        <is>
          <t>(same)</t>
        </is>
      </c>
      <c r="D16" s="14" t="n">
        <v>27006000</v>
      </c>
      <c r="E16" t="inlineStr">
        <is>
          <t>吉田機電(株)</t>
        </is>
      </c>
      <c r="F16" s="14" t="n">
        <v>25500000</v>
      </c>
      <c r="G16" s="13">
        <f>IF(F16="","",F16/D16)</f>
        <v/>
      </c>
      <c r="I16" t="inlineStr">
        <is>
          <t>kekka_20260723.pdf</t>
        </is>
      </c>
    </row>
    <row r="17">
      <c r="A17" t="inlineStr">
        <is>
          <t>2026-07-23</t>
        </is>
      </c>
      <c r="B17" t="inlineStr">
        <is>
          <t>(same)</t>
        </is>
      </c>
      <c r="C17" t="inlineStr">
        <is>
          <t>(same)</t>
        </is>
      </c>
      <c r="D17" s="14" t="n">
        <v>27006000</v>
      </c>
      <c r="E17" t="inlineStr">
        <is>
          <t>奈良文庫電気設備(株)</t>
        </is>
      </c>
      <c r="F17" s="14" t="n">
        <v>25800000</v>
      </c>
      <c r="G17" s="13">
        <f>IF(F17="","",F17/D17)</f>
        <v/>
      </c>
      <c r="I17" t="inlineStr">
        <is>
          <t>kekka_20260723.pdf</t>
        </is>
      </c>
    </row>
    <row r="18">
      <c r="A18" t="inlineStr">
        <is>
          <t>2026-07-23</t>
        </is>
      </c>
      <c r="B18" t="inlineStr">
        <is>
          <t>(same)</t>
        </is>
      </c>
      <c r="C18" t="inlineStr">
        <is>
          <t>(same)</t>
        </is>
      </c>
      <c r="D18" s="14" t="n">
        <v>27006000</v>
      </c>
      <c r="E18" t="inlineStr">
        <is>
          <t>信貴商事(株)</t>
        </is>
      </c>
      <c r="F18" s="14" t="n">
        <v>27000000</v>
      </c>
      <c r="G18" s="13">
        <f>IF(F18="","",F18/D18)</f>
        <v/>
      </c>
      <c r="I18" t="inlineStr">
        <is>
          <t>kekka_20260723.pdf</t>
        </is>
      </c>
    </row>
    <row r="19">
      <c r="A19" t="inlineStr">
        <is>
          <t>2026-08-10</t>
        </is>
      </c>
      <c r="B19" t="inlineStr">
        <is>
          <t>御杖保育所中庭ウッドデッキ改修工事</t>
        </is>
      </c>
      <c r="C19" t="inlineStr">
        <is>
          <t>御杖村大字大字土屋原1479番地の1</t>
        </is>
      </c>
      <c r="D19" s="14" t="n">
        <v>4893000</v>
      </c>
      <c r="E19" t="inlineStr">
        <is>
          <t>中村建築 中村 公</t>
        </is>
      </c>
      <c r="F19" s="14" t="n">
        <v>4880000</v>
      </c>
      <c r="G19" s="13">
        <f>IF(F19="","",F19/D19)</f>
        <v/>
      </c>
      <c r="H19" t="inlineStr">
        <is>
          <t>落札</t>
        </is>
      </c>
      <c r="I19" t="inlineStr">
        <is>
          <t>kekka_20260810.pdf</t>
        </is>
      </c>
    </row>
    <row r="20">
      <c r="A20" t="inlineStr">
        <is>
          <t>2026-08-10</t>
        </is>
      </c>
      <c r="B20" t="inlineStr">
        <is>
          <t>(same)</t>
        </is>
      </c>
      <c r="C20" t="inlineStr">
        <is>
          <t>(same)</t>
        </is>
      </c>
      <c r="D20" s="14" t="n">
        <v>4893000</v>
      </c>
      <c r="E20" t="inlineStr">
        <is>
          <t>株式会社立花商会 代表取締役 立花 正富</t>
        </is>
      </c>
      <c r="F20" s="14" t="n">
        <v>4900000</v>
      </c>
      <c r="G20" s="13">
        <f>IF(F20="","",F20/D20)</f>
        <v/>
      </c>
      <c r="I20" t="inlineStr">
        <is>
          <t>kekka_20260810.pdf</t>
        </is>
      </c>
    </row>
    <row r="21">
      <c r="A21" t="inlineStr">
        <is>
          <t>2026-08-10</t>
        </is>
      </c>
      <c r="B21" t="inlineStr">
        <is>
          <t>(same)</t>
        </is>
      </c>
      <c r="C21" t="inlineStr">
        <is>
          <t>(same)</t>
        </is>
      </c>
      <c r="D21" s="14" t="n">
        <v>4893000</v>
      </c>
      <c r="E21" t="inlineStr">
        <is>
          <t>株式会社坂口組 代表取締役 坂口 明男</t>
        </is>
      </c>
      <c r="F21" s="14" t="n">
        <v>5050000</v>
      </c>
      <c r="G21" s="13">
        <f>IF(F21="","",F21/D21)</f>
        <v/>
      </c>
      <c r="I21" t="inlineStr">
        <is>
          <t>kekka_20260810.pdf</t>
        </is>
      </c>
    </row>
    <row r="22">
      <c r="A22" t="inlineStr">
        <is>
          <t>2026-08-10</t>
        </is>
      </c>
      <c r="B22" t="inlineStr">
        <is>
          <t>(same)</t>
        </is>
      </c>
      <c r="C22" t="inlineStr">
        <is>
          <t>(same)</t>
        </is>
      </c>
      <c r="D22" s="14" t="n">
        <v>4893000</v>
      </c>
      <c r="E22" t="inlineStr">
        <is>
          <t>株式会社坂本総建 代表取締役 坂本 大輔</t>
        </is>
      </c>
      <c r="F22" s="14" t="n">
        <v>5100000</v>
      </c>
      <c r="G22" s="13">
        <f>IF(F22="","",F22/D22)</f>
        <v/>
      </c>
      <c r="I22" t="inlineStr">
        <is>
          <t>kekka_20260810.pdf</t>
        </is>
      </c>
    </row>
    <row r="23">
      <c r="A23" t="inlineStr">
        <is>
          <t>2026-08-14</t>
        </is>
      </c>
      <c r="B23" t="inlineStr">
        <is>
          <t>令和８年度 菅野地区配水管布設替工事</t>
        </is>
      </c>
      <c r="C23" t="inlineStr">
        <is>
          <t>御杖村大字 菅野 地内</t>
        </is>
      </c>
      <c r="D23" s="14" t="n">
        <v>44630000</v>
      </c>
      <c r="E23" t="inlineStr">
        <is>
          <t>中嶋建設(株) 中嶋敏治</t>
        </is>
      </c>
      <c r="F23" s="14" t="n">
        <v>44000000</v>
      </c>
      <c r="G23" s="13">
        <f>IF(F23="","",F23/D23)</f>
        <v/>
      </c>
      <c r="H23" t="inlineStr">
        <is>
          <t>落札</t>
        </is>
      </c>
      <c r="I23" t="inlineStr">
        <is>
          <t>kekka_20260814.pdf</t>
        </is>
      </c>
    </row>
    <row r="24">
      <c r="A24" t="inlineStr">
        <is>
          <t>2026-08-14</t>
        </is>
      </c>
      <c r="B24" t="inlineStr">
        <is>
          <t>(same)</t>
        </is>
      </c>
      <c r="C24" t="inlineStr">
        <is>
          <t>(same)</t>
        </is>
      </c>
      <c r="D24" s="14" t="n">
        <v>44630000</v>
      </c>
      <c r="E24" t="inlineStr">
        <is>
          <t>(株)坂口組 坂口明男</t>
        </is>
      </c>
      <c r="F24" s="14" t="n">
        <v>44200000</v>
      </c>
      <c r="G24" s="13">
        <f>IF(F24="","",F24/D24)</f>
        <v/>
      </c>
      <c r="I24" t="inlineStr">
        <is>
          <t>kekka_20260814.pdf</t>
        </is>
      </c>
    </row>
    <row r="25">
      <c r="A25" t="inlineStr">
        <is>
          <t>2026-08-14</t>
        </is>
      </c>
      <c r="B25" t="inlineStr">
        <is>
          <t>(same)</t>
        </is>
      </c>
      <c r="C25" t="inlineStr">
        <is>
          <t>(same)</t>
        </is>
      </c>
      <c r="D25" s="14" t="n">
        <v>44630000</v>
      </c>
      <c r="E25" t="inlineStr">
        <is>
          <t>(株)山田土木 山田浩之</t>
        </is>
      </c>
      <c r="F25" s="14" t="n">
        <v>44500000</v>
      </c>
      <c r="G25" s="13">
        <f>IF(F25="","",F25/D25)</f>
        <v/>
      </c>
      <c r="I25" t="inlineStr">
        <is>
          <t>kekka_20260814.pdf</t>
        </is>
      </c>
    </row>
    <row r="26">
      <c r="A26" t="inlineStr">
        <is>
          <t>2026-08-14</t>
        </is>
      </c>
      <c r="B26" t="inlineStr">
        <is>
          <t>防災･安全交付金事業 村道中村線舗装補修工事</t>
        </is>
      </c>
      <c r="C26" t="inlineStr">
        <is>
          <t>御杖村大字 土屋原 地内</t>
        </is>
      </c>
      <c r="D26" s="14" t="n"/>
      <c r="F26" s="14" t="n"/>
      <c r="G26" s="13" t="n"/>
      <c r="H26" t="inlineStr">
        <is>
          <t>入札取消し (予定価格の誤り; re-bid 2026-08-27)</t>
        </is>
      </c>
      <c r="I26" t="inlineStr">
        <is>
          <t>kekka_20260814.pdf</t>
        </is>
      </c>
    </row>
    <row r="27">
      <c r="A27" t="inlineStr">
        <is>
          <t>2026-08-14</t>
        </is>
      </c>
      <c r="B27" t="inlineStr">
        <is>
          <t>防災･安全交付金事業 村道西川川合敷津線(神末工区)舗装補修工事</t>
        </is>
      </c>
      <c r="C27" t="inlineStr">
        <is>
          <t>御杖村大字 神末 地内</t>
        </is>
      </c>
      <c r="D27" s="14" t="n">
        <v>7077000</v>
      </c>
      <c r="E27" t="inlineStr">
        <is>
          <t>共 今西組 今西 ちえ子</t>
        </is>
      </c>
      <c r="F27" s="14" t="n">
        <v>6790000</v>
      </c>
      <c r="G27" s="13">
        <f>IF(F27="","",F27/D27)</f>
        <v/>
      </c>
      <c r="H27" t="inlineStr">
        <is>
          <t>落札</t>
        </is>
      </c>
      <c r="I27" t="inlineStr">
        <is>
          <t>kekka_20260814.pdf</t>
        </is>
      </c>
    </row>
    <row r="28">
      <c r="A28" t="inlineStr">
        <is>
          <t>2026-08-14</t>
        </is>
      </c>
      <c r="B28" t="inlineStr">
        <is>
          <t>(same)</t>
        </is>
      </c>
      <c r="C28" t="inlineStr">
        <is>
          <t>(same)</t>
        </is>
      </c>
      <c r="D28" s="14" t="n">
        <v>7077000</v>
      </c>
      <c r="E28" t="inlineStr">
        <is>
          <t>株式会社木村組 木村 ますみ</t>
        </is>
      </c>
      <c r="F28" s="14" t="n">
        <v>6900000</v>
      </c>
      <c r="G28" s="13">
        <f>IF(F28="","",F28/D28)</f>
        <v/>
      </c>
      <c r="I28" t="inlineStr">
        <is>
          <t>kekka_20260814.pdf</t>
        </is>
      </c>
    </row>
    <row r="29">
      <c r="A29" t="inlineStr">
        <is>
          <t>2026-08-14</t>
        </is>
      </c>
      <c r="B29" t="inlineStr">
        <is>
          <t>(same)</t>
        </is>
      </c>
      <c r="C29" t="inlineStr">
        <is>
          <t>(same)</t>
        </is>
      </c>
      <c r="D29" s="14" t="n">
        <v>7077000</v>
      </c>
      <c r="E29" t="inlineStr">
        <is>
          <t>株式会社山田土木 山田 浩之</t>
        </is>
      </c>
      <c r="F29" s="14" t="n">
        <v>7000000</v>
      </c>
      <c r="G29" s="13">
        <f>IF(F29="","",F29/D29)</f>
        <v/>
      </c>
      <c r="I29" t="inlineStr">
        <is>
          <t>kekka_20260814.pdf</t>
        </is>
      </c>
    </row>
    <row r="30">
      <c r="A30" t="inlineStr">
        <is>
          <t>2026-08-14</t>
        </is>
      </c>
      <c r="B30" t="inlineStr">
        <is>
          <t>(same)</t>
        </is>
      </c>
      <c r="C30" t="inlineStr">
        <is>
          <t>(same)</t>
        </is>
      </c>
      <c r="D30" s="14" t="n">
        <v>7077000</v>
      </c>
      <c r="E30" t="inlineStr">
        <is>
          <t>株式会社坂口組 坂口 明男</t>
        </is>
      </c>
      <c r="F30" s="14" t="n">
        <v>7000000</v>
      </c>
      <c r="G30" s="13">
        <f>IF(F30="","",F30/D30)</f>
        <v/>
      </c>
      <c r="I30" t="inlineStr">
        <is>
          <t>kekka_20260814.pdf</t>
        </is>
      </c>
    </row>
    <row r="31">
      <c r="A31" t="inlineStr">
        <is>
          <t>2026-08-14</t>
        </is>
      </c>
      <c r="B31" t="inlineStr">
        <is>
          <t>(same)</t>
        </is>
      </c>
      <c r="C31" t="inlineStr">
        <is>
          <t>(same)</t>
        </is>
      </c>
      <c r="D31" s="14" t="n">
        <v>7077000</v>
      </c>
      <c r="E31" t="inlineStr">
        <is>
          <t>中嶋建設株式会社 中嶋 敏治</t>
        </is>
      </c>
      <c r="F31" s="14" t="n">
        <v>7035000</v>
      </c>
      <c r="G31" s="13">
        <f>IF(F31="","",F31/D31)</f>
        <v/>
      </c>
      <c r="I31" t="inlineStr">
        <is>
          <t>kekka_20260814.pdf</t>
        </is>
      </c>
    </row>
    <row r="32">
      <c r="A32" t="inlineStr">
        <is>
          <t>2026-08-27</t>
        </is>
      </c>
      <c r="B32" t="inlineStr">
        <is>
          <t>防災･安全交付金事業 村道中村線舗装補修工事</t>
        </is>
      </c>
      <c r="C32" t="inlineStr">
        <is>
          <t>御杖村大字 土屋原 地内</t>
        </is>
      </c>
      <c r="D32" s="14" t="n">
        <v>20452000</v>
      </c>
      <c r="E32" t="inlineStr">
        <is>
          <t>株式会社山田土木 山田 浩之</t>
        </is>
      </c>
      <c r="F32" s="14" t="n">
        <v>20000000</v>
      </c>
      <c r="G32" s="13">
        <f>IF(F32="","",F32/D32)</f>
        <v/>
      </c>
      <c r="H32" t="inlineStr">
        <is>
          <t>落札</t>
        </is>
      </c>
      <c r="I32" t="inlineStr">
        <is>
          <t>kekka_20260827.pdf</t>
        </is>
      </c>
    </row>
    <row r="33">
      <c r="A33" t="inlineStr">
        <is>
          <t>2026-08-27</t>
        </is>
      </c>
      <c r="B33" t="inlineStr">
        <is>
          <t>(same)</t>
        </is>
      </c>
      <c r="C33" t="inlineStr">
        <is>
          <t>(same)</t>
        </is>
      </c>
      <c r="D33" s="14" t="n">
        <v>20452000</v>
      </c>
      <c r="E33" t="inlineStr">
        <is>
          <t>中嶋建設株式会社 中嶋 敏治</t>
        </is>
      </c>
      <c r="F33" s="14" t="n">
        <v>20250000</v>
      </c>
      <c r="G33" s="13">
        <f>IF(F33="","",F33/D33)</f>
        <v/>
      </c>
      <c r="I33" t="inlineStr">
        <is>
          <t>kekka_20260827.pdf</t>
        </is>
      </c>
    </row>
    <row r="34">
      <c r="A34" t="inlineStr">
        <is>
          <t>2026-08-27</t>
        </is>
      </c>
      <c r="B34" t="inlineStr">
        <is>
          <t>(same)</t>
        </is>
      </c>
      <c r="C34" t="inlineStr">
        <is>
          <t>(same)</t>
        </is>
      </c>
      <c r="D34" s="14" t="n">
        <v>20452000</v>
      </c>
      <c r="E34" t="inlineStr">
        <is>
          <t>株式会社坂口組 坂口 明男</t>
        </is>
      </c>
      <c r="F34" s="14" t="n">
        <v>20300000</v>
      </c>
      <c r="G34" s="13">
        <f>IF(F34="","",F34/D34)</f>
        <v/>
      </c>
      <c r="I34" t="inlineStr">
        <is>
          <t>kekka_20260827.pdf</t>
        </is>
      </c>
    </row>
    <row r="35">
      <c r="A35" t="inlineStr">
        <is>
          <t>2026-10-15</t>
        </is>
      </c>
      <c r="B35" t="inlineStr">
        <is>
          <t>村道脇谷中野線 部分改良工事</t>
        </is>
      </c>
      <c r="C35" t="inlineStr">
        <is>
          <t>御杖村大字 神末 地内</t>
        </is>
      </c>
      <c r="D35" s="14" t="n">
        <v>8415000</v>
      </c>
      <c r="E35" t="inlineStr">
        <is>
          <t>株式会社木村組 木村 ますみ</t>
        </is>
      </c>
      <c r="F35" s="14" t="n">
        <v>8000000</v>
      </c>
      <c r="G35" s="13">
        <f>IF(F35="","",F35/D35)</f>
        <v/>
      </c>
      <c r="H35" t="inlineStr">
        <is>
          <t>落札</t>
        </is>
      </c>
      <c r="I35" t="inlineStr">
        <is>
          <t>kekka_20261015.pdf</t>
        </is>
      </c>
    </row>
    <row r="36">
      <c r="A36" t="inlineStr">
        <is>
          <t>2026-10-15</t>
        </is>
      </c>
      <c r="B36" t="inlineStr">
        <is>
          <t>(same)</t>
        </is>
      </c>
      <c r="C36" t="inlineStr">
        <is>
          <t>(same)</t>
        </is>
      </c>
      <c r="D36" s="14" t="n">
        <v>8415000</v>
      </c>
      <c r="E36" t="inlineStr">
        <is>
          <t>株式会社坂口組 坂口 明男</t>
        </is>
      </c>
      <c r="F36" s="14" t="n">
        <v>8200000</v>
      </c>
      <c r="G36" s="13">
        <f>IF(F36="","",F36/D36)</f>
        <v/>
      </c>
      <c r="I36" t="inlineStr">
        <is>
          <t>kekka_20261015.pdf</t>
        </is>
      </c>
    </row>
    <row r="37">
      <c r="A37" t="inlineStr">
        <is>
          <t>2026-10-15</t>
        </is>
      </c>
      <c r="B37" t="inlineStr">
        <is>
          <t>(same)</t>
        </is>
      </c>
      <c r="C37" t="inlineStr">
        <is>
          <t>(same)</t>
        </is>
      </c>
      <c r="D37" s="14" t="n">
        <v>8415000</v>
      </c>
      <c r="E37" t="inlineStr">
        <is>
          <t>共 今西組 今西 ちえ子</t>
        </is>
      </c>
      <c r="F37" s="14" t="n">
        <v>8200000</v>
      </c>
      <c r="G37" s="13">
        <f>IF(F37="","",F37/D37)</f>
        <v/>
      </c>
      <c r="I37" t="inlineStr">
        <is>
          <t>kekka_20261015.pdf</t>
        </is>
      </c>
    </row>
    <row r="38">
      <c r="A38" t="inlineStr">
        <is>
          <t>2026-10-15</t>
        </is>
      </c>
      <c r="B38" t="inlineStr">
        <is>
          <t>(same)</t>
        </is>
      </c>
      <c r="C38" t="inlineStr">
        <is>
          <t>(same)</t>
        </is>
      </c>
      <c r="D38" s="14" t="n">
        <v>8415000</v>
      </c>
      <c r="E38" t="inlineStr">
        <is>
          <t>中嶋建設株式会社 中嶋 敏治</t>
        </is>
      </c>
      <c r="F38" s="14" t="n">
        <v>8250000</v>
      </c>
      <c r="G38" s="13">
        <f>IF(F38="","",F38/D38)</f>
        <v/>
      </c>
      <c r="I38" t="inlineStr">
        <is>
          <t>kekka_20261015.pdf</t>
        </is>
      </c>
    </row>
    <row r="39">
      <c r="A39" t="inlineStr">
        <is>
          <t>2026-10-15</t>
        </is>
      </c>
      <c r="B39" t="inlineStr">
        <is>
          <t>(same)</t>
        </is>
      </c>
      <c r="C39" t="inlineStr">
        <is>
          <t>(same)</t>
        </is>
      </c>
      <c r="D39" s="14" t="n">
        <v>8415000</v>
      </c>
      <c r="E39" t="inlineStr">
        <is>
          <t>株式会社山田土木 山田 浩之</t>
        </is>
      </c>
      <c r="F39" s="14" t="n">
        <v>8300000</v>
      </c>
      <c r="G39" s="13">
        <f>IF(F39="","",F39/D39)</f>
        <v/>
      </c>
      <c r="I39" t="inlineStr">
        <is>
          <t>kekka_20261015.pdf</t>
        </is>
      </c>
    </row>
    <row r="40">
      <c r="A40" t="inlineStr">
        <is>
          <t>Note: all 指名競争入札. Source: construction (建設工事) results, https://www.vill.mitsue.nara.jp/material/files/group/10/ (kekka_*.pdf). 契約額 = bid +10% tax. 2026-08-14 中村線 bid cancelled (reserve price error in published form), re-bid 8/27. Added 2026-10-28; no forestry work among these.</t>
        </is>
      </c>
      <c r="D40" s="14" t="n"/>
      <c r="F40" s="14" t="n"/>
      <c r="G4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20" customWidth="1" min="3" max="3"/>
    <col width="50" customWidth="1" min="4" max="4"/>
    <col width="32" customWidth="1" min="5" max="5"/>
  </cols>
  <sheetData>
    <row r="1">
      <c r="A1" s="1" t="inlineStr">
        <is>
          <t>Fiscal year</t>
        </is>
      </c>
      <c r="B1" s="1" t="inlineStr">
        <is>
          <t>Program</t>
        </is>
      </c>
      <c r="C1" s="1" t="inlineStr">
        <is>
          <t>Project cost (¥ thousand)</t>
        </is>
      </c>
      <c r="D1" s="1" t="inlineStr">
        <is>
          <t>Notes / results</t>
        </is>
      </c>
      <c r="E1" s="1" t="inlineStr">
        <is>
          <t>Source PDF</t>
        </is>
      </c>
    </row>
    <row r="2">
      <c r="A2" s="2" t="inlineStr">
        <is>
          <t>FY2019 (R1)</t>
        </is>
      </c>
      <c r="B2" s="2" t="inlineStr">
        <is>
          <t>施業放置林整備マネージャー事業 (意向調査準備)</t>
        </is>
      </c>
      <c r="C2" s="11" t="n">
        <v>514</v>
      </c>
      <c r="D2" s="2" t="inlineStr">
        <is>
          <t>協定締結面積(間伐) 86.24ha; ¥257,000/人</t>
        </is>
      </c>
      <c r="E2" s="2" t="inlineStr">
        <is>
          <t>R1kessann.pdf</t>
        </is>
      </c>
    </row>
    <row r="3">
      <c r="A3" s="2" t="inlineStr">
        <is>
          <t>FY2019 (R1)</t>
        </is>
      </c>
      <c r="B3" s="2" t="inlineStr">
        <is>
          <t>間伐促進事業</t>
        </is>
      </c>
      <c r="C3" s="11" t="n">
        <v>2001</v>
      </c>
      <c r="D3" s="2" t="inlineStr">
        <is>
          <t>100.09 ha; ¥20,000/ha</t>
        </is>
      </c>
      <c r="E3" s="2" t="inlineStr">
        <is>
          <t>R1kessann.pdf</t>
        </is>
      </c>
    </row>
    <row r="4">
      <c r="A4" s="2" t="inlineStr">
        <is>
          <t>FY2019 (R1)</t>
        </is>
      </c>
      <c r="B4" s="2" t="inlineStr">
        <is>
          <t>木質バイオマス供給促進(奈良県森林組合連合会へ出荷)</t>
        </is>
      </c>
      <c r="C4" s="11" t="n">
        <v>151</v>
      </c>
      <c r="D4" s="2" t="inlineStr">
        <is>
          <t>50.6 t; ¥3,000/t</t>
        </is>
      </c>
      <c r="E4" s="2" t="inlineStr">
        <is>
          <t>R1kessann.pdf</t>
        </is>
      </c>
    </row>
    <row r="5">
      <c r="A5" s="2" t="inlineStr">
        <is>
          <t>FY2019 (R1)</t>
        </is>
      </c>
      <c r="B5" s="2" t="inlineStr">
        <is>
          <t>森林環境整備事業</t>
        </is>
      </c>
      <c r="C5" s="11" t="n">
        <v>7371</v>
      </c>
      <c r="D5" s="2" t="inlineStr">
        <is>
          <t>(figure as read; verify)</t>
        </is>
      </c>
      <c r="E5" s="2" t="inlineStr">
        <is>
          <t>R1kessann.pdf</t>
        </is>
      </c>
    </row>
    <row r="6">
      <c r="A6" s="2" t="inlineStr">
        <is>
          <t>FY2020 (R2)</t>
        </is>
      </c>
      <c r="B6" s="2" t="inlineStr">
        <is>
          <t>施業放置林整備マネージャー事業</t>
        </is>
      </c>
      <c r="C6" s="11" t="n">
        <v>514</v>
      </c>
      <c r="D6" s="2" t="inlineStr">
        <is>
          <t>協定締結面積(間伐) 102.24 ha</t>
        </is>
      </c>
      <c r="E6" s="2" t="inlineStr">
        <is>
          <t>R2shinrinkankyouzouyozei-sito.pdf</t>
        </is>
      </c>
    </row>
    <row r="7">
      <c r="A7" s="2" t="inlineStr">
        <is>
          <t>FY2020 (R2)</t>
        </is>
      </c>
      <c r="B7" s="2" t="inlineStr">
        <is>
          <t>間伐促進事業</t>
        </is>
      </c>
      <c r="C7" s="11" t="n">
        <v>2401</v>
      </c>
      <c r="D7" s="2" t="inlineStr">
        <is>
          <t>128.19 ha</t>
        </is>
      </c>
      <c r="E7" s="2" t="inlineStr">
        <is>
          <t>R2shinrinkankyouzouyozei-sito.pdf</t>
        </is>
      </c>
    </row>
    <row r="8">
      <c r="A8" s="2" t="inlineStr">
        <is>
          <t>FY2020 (R2)</t>
        </is>
      </c>
      <c r="B8" s="2" t="inlineStr">
        <is>
          <t>木質バイオマス供給促進</t>
        </is>
      </c>
      <c r="C8" s="11" t="n">
        <v>65</v>
      </c>
      <c r="D8" s="2" t="inlineStr">
        <is>
          <t>21.59 t; ¥3,000/t</t>
        </is>
      </c>
      <c r="E8" s="2" t="inlineStr">
        <is>
          <t>R2shinrinkankyouzouyozei-sito.pdf</t>
        </is>
      </c>
    </row>
    <row r="9">
      <c r="A9" s="2" t="inlineStr">
        <is>
          <t>FY2021</t>
        </is>
      </c>
      <c r="B9" s="2" t="inlineStr">
        <is>
          <t>(not read: 20230214.pdf is an image)</t>
        </is>
      </c>
      <c r="C9" s="11" t="inlineStr"/>
      <c r="D9" s="2" t="inlineStr"/>
      <c r="E9" s="2" t="inlineStr">
        <is>
          <t>20230214.pdf</t>
        </is>
      </c>
    </row>
    <row r="10">
      <c r="A10" s="2" t="inlineStr">
        <is>
          <t>FY2022 (R4)</t>
        </is>
      </c>
      <c r="B10" s="2" t="inlineStr">
        <is>
          <t>施業放置林整備マネージャー事業</t>
        </is>
      </c>
      <c r="C10" s="11" t="n">
        <v>514</v>
      </c>
      <c r="D10" s="2" t="inlineStr">
        <is>
          <t>協定締結面積(間伐) 68.61 ha</t>
        </is>
      </c>
      <c r="E10" s="2" t="inlineStr">
        <is>
          <t>sito4.pdf</t>
        </is>
      </c>
    </row>
    <row r="11">
      <c r="A11" s="2" t="inlineStr">
        <is>
          <t>FY2022 (R4)</t>
        </is>
      </c>
      <c r="B11" s="2" t="inlineStr">
        <is>
          <t>間伐促進事業</t>
        </is>
      </c>
      <c r="C11" s="11" t="n">
        <v>1675</v>
      </c>
      <c r="D11" s="2" t="inlineStr">
        <is>
          <t>83.72 ha; ¥20,000/ha</t>
        </is>
      </c>
      <c r="E11" s="2" t="inlineStr">
        <is>
          <t>sito4.pdf</t>
        </is>
      </c>
    </row>
    <row r="12">
      <c r="A12" s="2" t="inlineStr">
        <is>
          <t>FY2022 (R4)</t>
        </is>
      </c>
      <c r="B12" s="2" t="inlineStr">
        <is>
          <t>木質バイオマス供給促進</t>
        </is>
      </c>
      <c r="C12" s="11" t="n">
        <v>723</v>
      </c>
      <c r="D12" s="2" t="inlineStr">
        <is>
          <t>241.00 t; ¥3,000/t (also 姫石の湯 wood-boiler log supply)</t>
        </is>
      </c>
      <c r="E12" s="2" t="inlineStr">
        <is>
          <t>sito4.pdf</t>
        </is>
      </c>
    </row>
    <row r="13">
      <c r="A13" s="2" t="inlineStr">
        <is>
          <t>FY2022 (R4)</t>
        </is>
      </c>
      <c r="B13" s="2" t="inlineStr">
        <is>
          <t>施業放置林整備事業</t>
        </is>
      </c>
      <c r="C13" s="11" t="n">
        <v>28258</v>
      </c>
      <c r="D13" s="2" t="inlineStr">
        <is>
          <t>68.61 ha</t>
        </is>
      </c>
      <c r="E13" s="2" t="inlineStr">
        <is>
          <t>sito4.pdf</t>
        </is>
      </c>
    </row>
    <row r="14">
      <c r="A14" s="2" t="inlineStr">
        <is>
          <t>FY2022 (R4)</t>
        </is>
      </c>
      <c r="B14" s="2" t="inlineStr">
        <is>
          <t>獣害につよい里山づくり事業</t>
        </is>
      </c>
      <c r="C14" s="11" t="n">
        <v>613</v>
      </c>
      <c r="D14" s="2" t="inlineStr">
        <is>
          <t>0.2 ha</t>
        </is>
      </c>
      <c r="E14" s="2" t="inlineStr">
        <is>
          <t>sito4.pdf</t>
        </is>
      </c>
    </row>
    <row r="15">
      <c r="A15" s="2" t="inlineStr">
        <is>
          <t>FY2022 (R4)</t>
        </is>
      </c>
      <c r="B15" s="2" t="inlineStr">
        <is>
          <t>森林環境整備事業 (road-side hazard trees)</t>
        </is>
      </c>
      <c r="C15" s="11" t="n">
        <v>1369</v>
      </c>
      <c r="D15" s="2" t="inlineStr"/>
      <c r="E15" s="2" t="inlineStr">
        <is>
          <t>sito4.pdf</t>
        </is>
      </c>
    </row>
    <row r="16">
      <c r="A16" s="2" t="inlineStr">
        <is>
          <t>FY2023 (R5)</t>
        </is>
      </c>
      <c r="B16" s="2" t="inlineStr">
        <is>
          <t>施業放置林整備マネージャー事業</t>
        </is>
      </c>
      <c r="C16" s="11" t="n">
        <v>548</v>
      </c>
      <c r="D16" s="2" t="inlineStr"/>
      <c r="E16" s="2" t="inlineStr">
        <is>
          <t>R5kai.pdf</t>
        </is>
      </c>
    </row>
    <row r="17">
      <c r="A17" s="2" t="inlineStr">
        <is>
          <t>FY2023 (R5)</t>
        </is>
      </c>
      <c r="B17" s="2" t="inlineStr">
        <is>
          <t>施業放置林整備事業</t>
        </is>
      </c>
      <c r="C17" s="11" t="n">
        <v>29801.2</v>
      </c>
      <c r="D17" s="2" t="inlineStr"/>
      <c r="E17" s="2" t="inlineStr">
        <is>
          <t>R5kai.pdf</t>
        </is>
      </c>
    </row>
    <row r="18">
      <c r="A18" s="2" t="inlineStr">
        <is>
          <t>FY2023 (R5)</t>
        </is>
      </c>
      <c r="B18" s="2" t="inlineStr">
        <is>
          <t>間伐促進事業</t>
        </is>
      </c>
      <c r="C18" s="11" t="n">
        <v>1613.4</v>
      </c>
      <c r="D18" s="2" t="inlineStr"/>
      <c r="E18" s="2" t="inlineStr">
        <is>
          <t>R5kai.pdf</t>
        </is>
      </c>
    </row>
    <row r="19">
      <c r="A19" s="2" t="inlineStr">
        <is>
          <t>FY2023 (R5)</t>
        </is>
      </c>
      <c r="B19" s="2" t="inlineStr">
        <is>
          <t>森林環境整備事業</t>
        </is>
      </c>
      <c r="C19" s="11" t="n">
        <v>2706</v>
      </c>
      <c r="D19" s="2" t="inlineStr"/>
      <c r="E19" s="2" t="inlineStr">
        <is>
          <t>R5kai.pdf</t>
        </is>
      </c>
    </row>
    <row r="20">
      <c r="A20" s="2" t="inlineStr">
        <is>
          <t>FY2023 (R5)</t>
        </is>
      </c>
      <c r="B20" s="2" t="inlineStr">
        <is>
          <t>木質バイオマスへの供給促進事業 (姫石の湯 log boiler)</t>
        </is>
      </c>
      <c r="C20" s="11" t="n">
        <v>2345.8</v>
      </c>
      <c r="D20" s="2" t="inlineStr"/>
      <c r="E20" s="2" t="inlineStr">
        <is>
          <t>R5kai.pdf</t>
        </is>
      </c>
    </row>
    <row r="21">
      <c r="A21" s="2" t="inlineStr">
        <is>
          <t>FY2023 (R5)</t>
        </is>
      </c>
      <c r="B21" s="2" t="inlineStr">
        <is>
          <t>基金積立</t>
        </is>
      </c>
      <c r="C21" s="11" t="n">
        <v>3955.653</v>
      </c>
      <c r="D21" s="2" t="inlineStr"/>
      <c r="E21" s="2" t="inlineStr">
        <is>
          <t>R5kai.pdf</t>
        </is>
      </c>
    </row>
    <row r="22">
      <c r="A22" s="2" t="inlineStr">
        <is>
          <t>FY2024 (R6)</t>
        </is>
      </c>
      <c r="B22" s="2" t="inlineStr">
        <is>
          <t>施業放置林整備マネージャー事業</t>
        </is>
      </c>
      <c r="C22" s="11" t="n">
        <v>566</v>
      </c>
      <c r="D22" s="2" t="inlineStr"/>
      <c r="E22" s="2" t="inlineStr">
        <is>
          <t>R6.pdf</t>
        </is>
      </c>
    </row>
    <row r="23">
      <c r="A23" s="2" t="inlineStr">
        <is>
          <t>FY2024 (R6)</t>
        </is>
      </c>
      <c r="B23" s="2" t="inlineStr">
        <is>
          <t>施業放置林整備事業</t>
        </is>
      </c>
      <c r="C23" s="11" t="n">
        <v>30642.7</v>
      </c>
      <c r="D23" s="2" t="inlineStr">
        <is>
          <t>(¥30,642,000 from tax)</t>
        </is>
      </c>
      <c r="E23" s="2" t="inlineStr">
        <is>
          <t>R6.pdf</t>
        </is>
      </c>
    </row>
    <row r="24">
      <c r="A24" s="2" t="inlineStr">
        <is>
          <t>FY2024 (R6)</t>
        </is>
      </c>
      <c r="B24" s="2" t="inlineStr">
        <is>
          <t>間伐促進事業</t>
        </is>
      </c>
      <c r="C24" s="11" t="n">
        <v>1615.2</v>
      </c>
      <c r="D24" s="2" t="inlineStr"/>
      <c r="E24" s="2" t="inlineStr">
        <is>
          <t>R6.pdf</t>
        </is>
      </c>
    </row>
    <row r="25">
      <c r="A25" s="2" t="inlineStr">
        <is>
          <t>FY2024 (R6)</t>
        </is>
      </c>
      <c r="B25" s="2" t="inlineStr">
        <is>
          <t>森林環境整備事業</t>
        </is>
      </c>
      <c r="C25" s="11" t="n">
        <v>2196.7</v>
      </c>
      <c r="D25" s="2" t="inlineStr"/>
      <c r="E25" s="2" t="inlineStr">
        <is>
          <t>R6.pdf</t>
        </is>
      </c>
    </row>
    <row r="26">
      <c r="A26" s="2" t="inlineStr">
        <is>
          <t>FY2024 (R6)</t>
        </is>
      </c>
      <c r="B26" s="2" t="inlineStr">
        <is>
          <t>木質バイオマスへの供給促進事業 (姫石の湯 log boiler)</t>
        </is>
      </c>
      <c r="C26" s="11" t="n">
        <v>1788</v>
      </c>
      <c r="D26" s="2" t="inlineStr"/>
      <c r="E26" s="2" t="inlineStr">
        <is>
          <t>R6.pdf</t>
        </is>
      </c>
    </row>
    <row r="27">
      <c r="A27" s="2" t="inlineStr">
        <is>
          <t>FY2024 (R6)</t>
        </is>
      </c>
      <c r="B27" s="2" t="inlineStr">
        <is>
          <t>基金積立</t>
        </is>
      </c>
      <c r="C27" s="11" t="n">
        <v>668</v>
      </c>
      <c r="D27" s="2" t="inlineStr">
        <is>
          <t>Fund balance ¥4,623,938</t>
        </is>
      </c>
      <c r="E27" s="2" t="inlineStr">
        <is>
          <t>R6.pdf</t>
        </is>
      </c>
    </row>
  </sheetData>
  <autoFilter ref="A1:E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60" customWidth="1" min="4" max="4"/>
    <col width="14" customWidth="1" min="5" max="5"/>
  </cols>
  <sheetData>
    <row r="1">
      <c r="A1" s="1" t="inlineStr">
        <is>
          <t>Period</t>
        </is>
      </c>
      <c r="B1" s="1" t="inlineStr">
        <is>
          <t>Spent (活用額, ¥)</t>
        </is>
      </c>
      <c r="C1" s="1" t="inlineStr">
        <is>
          <t>Received (譲与額, ¥)</t>
        </is>
      </c>
      <c r="D1" s="1" t="inlineStr">
        <is>
          <t>Source / note</t>
        </is>
      </c>
      <c r="E1" s="12" t="inlineStr">
        <is>
          <t>Usage rate</t>
        </is>
      </c>
    </row>
    <row r="2">
      <c r="A2" s="2" t="inlineStr">
        <is>
          <t>FY2019-FY2022</t>
        </is>
      </c>
      <c r="B2" s="6" t="n">
        <v>65322000</v>
      </c>
      <c r="C2" s="6" t="n">
        <v>79546000</v>
      </c>
      <c r="D2" s="2" t="inlineStr">
        <is>
          <t>R5kai.pdf (table row, pre-FY2023)</t>
        </is>
      </c>
      <c r="E2" s="13">
        <f>B2/C2</f>
        <v/>
      </c>
    </row>
    <row r="3">
      <c r="A3" s="2" t="inlineStr">
        <is>
          <t>FY2023</t>
        </is>
      </c>
      <c r="B3" s="6" t="n">
        <v>37013400</v>
      </c>
      <c r="C3" s="6" t="n">
        <v>26744000</v>
      </c>
      <c r="D3" s="2" t="inlineStr">
        <is>
          <t>R5kai.pdf</t>
        </is>
      </c>
      <c r="E3" s="13">
        <f>B3/C3</f>
        <v/>
      </c>
    </row>
    <row r="4">
      <c r="A4" s="2" t="inlineStr">
        <is>
          <t>FY2019-FY2023 cumulative</t>
        </is>
      </c>
      <c r="B4" s="6" t="n">
        <v>102335400</v>
      </c>
      <c r="C4" s="6" t="n">
        <v>106290000</v>
      </c>
      <c r="D4" s="2" t="inlineStr">
        <is>
          <t>R5kai/R6.pdf; 96.28%/96.78% usage rate at end FY2023 per village</t>
        </is>
      </c>
      <c r="E4" s="13">
        <f>B4/C4</f>
        <v/>
      </c>
    </row>
    <row r="5">
      <c r="A5" s="2" t="inlineStr">
        <is>
          <t>FY2024</t>
        </is>
      </c>
      <c r="B5" s="6" t="n">
        <v>36807000</v>
      </c>
      <c r="C5" s="6" t="n">
        <v>37475000</v>
      </c>
      <c r="D5" s="2" t="inlineStr">
        <is>
          <t>R6.pdf</t>
        </is>
      </c>
      <c r="E5" s="13">
        <f>B5/C5</f>
        <v/>
      </c>
    </row>
    <row r="6">
      <c r="A6" s="2" t="inlineStr">
        <is>
          <t>FY2019-FY2024 cumulative</t>
        </is>
      </c>
      <c r="B6" s="6" t="n">
        <v>139142400</v>
      </c>
      <c r="C6" s="6" t="n">
        <v>143765000</v>
      </c>
      <c r="D6" s="2" t="inlineStr">
        <is>
          <t>R6.pdf</t>
        </is>
      </c>
      <c r="E6" s="13">
        <f>B6/C6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Reference</t>
        </is>
      </c>
    </row>
    <row r="2">
      <c r="A2" s="2" t="inlineStr">
        <is>
          <t>Rule</t>
        </is>
      </c>
      <c r="B2" s="2" t="inlineStr">
        <is>
          <t>御杖村地域おこし協力隊用林業用重機の貸与に関する要綱 (令和6年1月4日告示第5号)</t>
        </is>
      </c>
      <c r="C2" s="2" t="inlineStr">
        <is>
          <t>https://lg.joureikun.jp/mitsue_vill/reiki/act/110001875.html</t>
        </is>
      </c>
    </row>
    <row r="3">
      <c r="A3" s="2" t="inlineStr">
        <is>
          <t>Eligible</t>
        </is>
      </c>
      <c r="B3" s="2" t="inlineStr">
        <is>
          <t>地域おこし協力隊の自伐型林業部門の任期満了者 only</t>
        </is>
      </c>
      <c r="C3" s="2" t="inlineStr">
        <is>
          <t>Art. 2</t>
        </is>
      </c>
    </row>
    <row r="4">
      <c r="A4" s="2" t="inlineStr">
        <is>
          <t>Use limits</t>
        </is>
      </c>
      <c r="B4" s="2" t="inlineStr">
        <is>
          <t>作業道整備・搬出間伐等; clear-cut use NOT allowed</t>
        </is>
      </c>
      <c r="C4" s="2" t="inlineStr">
        <is>
          <t>Art. 2</t>
        </is>
      </c>
    </row>
    <row r="5">
      <c r="A5" s="2" t="inlineStr">
        <is>
          <t>Fee</t>
        </is>
      </c>
      <c r="B5" s="2" t="inlineStr">
        <is>
          <t>¥1,000 per day per machine, regardless of machine/hours</t>
        </is>
      </c>
      <c r="C5" s="2" t="inlineStr">
        <is>
          <t>Art. 5</t>
        </is>
      </c>
    </row>
    <row r="6">
      <c r="A6" s="2" t="inlineStr">
        <is>
          <t>Period</t>
        </is>
      </c>
      <c r="B6" s="2" t="inlineStr">
        <is>
          <t>Monthly units, min. 1 day; apply 1 week ahead; eligibility up to 5 years after ex-協力隊 term ends</t>
        </is>
      </c>
      <c r="C6" s="2" t="inlineStr">
        <is>
          <t>Art. 4</t>
        </is>
      </c>
    </row>
    <row r="7">
      <c r="A7" s="2" t="inlineStr">
        <is>
          <t>Repairs/upkeep</t>
        </is>
      </c>
      <c r="B7" s="2" t="inlineStr">
        <is>
          <t>Village pays 車検, inspection, insurance and repairs (unless gross negligence); user pays fuel and consumables</t>
        </is>
      </c>
      <c r="C7" s="2" t="inlineStr">
        <is>
          <t>Art. 9-10</t>
        </is>
      </c>
    </row>
    <row r="8">
      <c r="A8" s="2" t="inlineStr">
        <is>
          <t>Fleet (別表第1)</t>
        </is>
      </c>
      <c r="B8" s="2" t="inlineStr">
        <is>
          <t>1) クボタ RX-306E backhoe (reg. 2020-09; currently BROKEN); 2) 日野 2.7t dump 2KG-XZU675T (reg. 2022-10)</t>
        </is>
      </c>
      <c r="C8" s="2" t="inlineStr">
        <is>
          <t>別表第1; Oba reply</t>
        </is>
      </c>
    </row>
    <row r="9">
      <c r="A9" s="2" t="inlineStr">
        <is>
          <t>Usage last FY</t>
        </is>
      </c>
      <c r="B9" s="2" t="inlineStr">
        <is>
          <t>2 users, 20 days total</t>
        </is>
      </c>
      <c r="C9" s="2" t="inlineStr">
        <is>
          <t>Oba reply 10/21</t>
        </is>
      </c>
    </row>
    <row r="10">
      <c r="A10" s="2" t="inlineStr">
        <is>
          <t>Oba's view</t>
        </is>
      </c>
      <c r="B10" s="2" t="inlineStr">
        <is>
          <t>Village ownership/lending of a high-performance machine is not possible (purchase and maintenance cost)</t>
        </is>
      </c>
      <c r="C10" s="2" t="inlineStr">
        <is>
          <t>Oba reply 10/21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0" customWidth="1" min="3" max="3"/>
  </cols>
  <sheetData>
    <row r="1">
      <c r="A1" s="1" t="inlineStr">
        <is>
          <t>Ref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inlineStr">
        <is>
          <t>10/9 Q1</t>
        </is>
      </c>
      <c r="B2" s="2" t="inlineStr">
        <is>
          <t>Lending rules, eligibility, machines, fees</t>
        </is>
      </c>
      <c r="C2" s="2" t="inlineStr">
        <is>
          <t>Ex-協力隊 only, ¥1,000/day; only 2.7t dump available (backhoe broken); see 要綱</t>
        </is>
      </c>
    </row>
    <row r="3">
      <c r="A3" s="2" t="inlineStr">
        <is>
          <t>10/9 Q2</t>
        </is>
      </c>
      <c r="B3" s="2" t="inlineStr">
        <is>
          <t>Loans last FY</t>
        </is>
      </c>
      <c r="C3" s="2" t="inlineStr">
        <is>
          <t>2 users, 20 days</t>
        </is>
      </c>
    </row>
    <row r="4">
      <c r="A4" s="2" t="inlineStr">
        <is>
          <t>10/9 Q3</t>
        </is>
      </c>
      <c r="B4" s="2" t="inlineStr">
        <is>
          <t>Adding a high-performance machine</t>
        </is>
      </c>
      <c r="C4" s="2" t="inlineStr">
        <is>
          <t>Village ownership/lending impossible (purchase + maintenance cost)</t>
        </is>
      </c>
    </row>
    <row r="5">
      <c r="A5" s="2" t="inlineStr">
        <is>
          <t>10/9 Q4</t>
        </is>
      </c>
      <c r="B5" s="2" t="inlineStr">
        <is>
          <t>How operators are chosen; use of forest tax</t>
        </is>
      </c>
      <c r="C5" s="2" t="inlineStr">
        <is>
          <t>施行放置林整備事業 is put out to bid; forest tax use published on village page</t>
        </is>
      </c>
    </row>
    <row r="6">
      <c r="A6" s="2" t="inlineStr">
        <is>
          <t>10/9 Q5</t>
        </is>
      </c>
      <c r="B6" s="2" t="inlineStr">
        <is>
          <t>Owner intent survey done?</t>
        </is>
      </c>
      <c r="C6" s="2" t="inlineStr">
        <is>
          <t>Not done</t>
        </is>
      </c>
    </row>
    <row r="7">
      <c r="A7" s="2" t="inlineStr">
        <is>
          <t>10/9 Q6</t>
        </is>
      </c>
      <c r="B7" s="2" t="inlineStr">
        <is>
          <t>Number of owners/absentee share</t>
        </is>
      </c>
      <c r="C7" s="2" t="inlineStr">
        <is>
          <t>No data</t>
        </is>
      </c>
    </row>
    <row r="8">
      <c r="A8" s="2" t="inlineStr">
        <is>
          <t>10/21 Q1</t>
        </is>
      </c>
      <c r="B8" s="2" t="inlineStr">
        <is>
          <t>Published bid results?</t>
        </is>
      </c>
      <c r="C8" s="2" t="inlineStr">
        <is>
          <t>Yes (this year's): https://www.vill.mitsue.nara.jp/kurashi/annai/suitoushitsu/zigyosyanokatahe/nyusatu/nyuusatukekkanokouhyou/sonotaitakuekimu/3335.html</t>
        </is>
      </c>
    </row>
    <row r="9">
      <c r="A9" s="2" t="inlineStr">
        <is>
          <t>10/21 Q2</t>
        </is>
      </c>
      <c r="B9" s="2" t="inlineStr">
        <is>
          <t>伐採届 counts</t>
        </is>
      </c>
      <c r="C9" s="2" t="inlineStr">
        <is>
          <t>Not answered in writing; Oba wants to discuss in person next time</t>
        </is>
      </c>
    </row>
    <row r="10">
      <c r="A10" s="2" t="inlineStr">
        <is>
          <t>10/21 Q3</t>
        </is>
      </c>
      <c r="B10" s="2" t="inlineStr">
        <is>
          <t>Timing of intent survey</t>
        </is>
      </c>
      <c r="C10" s="2" t="inlineStr">
        <is>
          <t>Parcel (地番) organisation under way (base data for the survey); survey planned from ~4 years after completion</t>
        </is>
      </c>
    </row>
    <row r="11">
      <c r="A11" s="2" t="inlineStr">
        <is>
          <t>Availability</t>
        </is>
      </c>
      <c r="B11" s="2" t="inlineStr">
        <is>
          <t>Office meeting</t>
        </is>
      </c>
      <c r="C11" s="2" t="inlineStr">
        <is>
          <t>In office 11/2, 11/6, 11/10 (answer 10/27)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2026-10-27T11:58:49Z</dcterms:created>
  <dcterms:modified xmlns:dcterms="http://purl.org/dc/terms/" xmlns:xsi="http://www.w3.org/2001/XMLSchema-instance" xsi:type="dcterms:W3CDTF">2026-10-28T02:23:52Z</dcterms:modified>
</cp:coreProperties>
</file>