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Fuel candidates" sheetId="4" state="visible" r:id="rId4"/>
  </sheets>
  <definedNames>
    <definedName name="_xlnm._FilterDatabase" localSheetId="1" hidden="1">'Data'!$A$1:$S$114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x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wrapText="1"/>
    </xf>
    <xf numFmtId="3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9" fontId="2" fillId="0" borderId="0" pivotButton="0" quotePrefix="0" xfId="0"/>
    <xf numFmtId="165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Village thinning plan (間伐) - R6-R8 summary. Source: scan 261013_1222_001.pdf (village hall, 2026-10-08). Plans, not realised harvests.</t>
        </is>
      </c>
    </row>
    <row r="3" ht="48" customHeight="1">
      <c r="A3" s="2" t="inlineStr">
        <is>
          <t>Plan year</t>
        </is>
      </c>
      <c r="B3" s="2" t="inlineStr">
        <is>
          <t>Parcels</t>
        </is>
      </c>
      <c r="C3" s="2" t="inlineStr">
        <is>
          <t>Area ha</t>
        </is>
      </c>
      <c r="D3" s="2" t="inlineStr">
        <is>
          <t>Standing vol m³</t>
        </is>
      </c>
      <c r="E3" s="2" t="inlineStr">
        <is>
          <t>Thinning vol m³</t>
        </is>
      </c>
      <c r="F3" s="2" t="inlineStr">
        <is>
          <t>…of which Cut &amp; leave m³</t>
        </is>
      </c>
      <c r="G3" s="2" t="inlineStr">
        <is>
          <t>…of which Extracted m³</t>
        </is>
      </c>
      <c r="H3" s="2" t="inlineStr">
        <is>
          <t>Cut&amp;leave share</t>
        </is>
      </c>
      <c r="I3" s="2" t="inlineStr">
        <is>
          <t>Thinning vol t dry (×density)</t>
        </is>
      </c>
      <c r="J3" s="2" t="inlineStr">
        <is>
          <t>Recoverable CHP fuel, t dry/yr</t>
        </is>
      </c>
      <c r="K3" s="2" t="inlineStr">
        <is>
          <t>Covers low demand (450 t)</t>
        </is>
      </c>
      <c r="L3" s="2" t="inlineStr">
        <is>
          <t>Covers high demand (600 t)</t>
        </is>
      </c>
    </row>
    <row r="4">
      <c r="A4" t="inlineStr">
        <is>
          <t>R6 (FY2024)</t>
        </is>
      </c>
      <c r="B4">
        <f>COUNTIF(Data!$A$2:$A$114,A4)</f>
        <v/>
      </c>
      <c r="C4" s="3">
        <f>SUMIFS(Data!$I$2:$I$114,Data!$A$2:$A$114,A4)</f>
        <v/>
      </c>
      <c r="D4" s="3">
        <f>SUMIFS(Data!$L$2:$L$114,Data!$A$2:$A$114,A4)</f>
        <v/>
      </c>
      <c r="E4" s="3">
        <f>SUMIFS(Data!$N$2:$N$114,Data!$A$2:$A$114,A4)</f>
        <v/>
      </c>
      <c r="F4" s="3">
        <f>SUMIFS(Data!$N$2:$N$114,Data!$A$2:$A$114,A4,Data!$M$2:$M$114,"Cut*")</f>
        <v/>
      </c>
      <c r="G4" s="3">
        <f>SUMIFS(Data!$N$2:$N$114,Data!$A$2:$A$114,A4,Data!$M$2:$M$114,"Extr*")</f>
        <v/>
      </c>
      <c r="H4" s="4">
        <f>F4/E4</f>
        <v/>
      </c>
      <c r="I4" s="3">
        <f>E4*Assumptions!$B$2</f>
        <v/>
      </c>
      <c r="J4" s="3">
        <f>F4*Assumptions!$B$3*Assumptions!$B$2</f>
        <v/>
      </c>
      <c r="K4" s="5">
        <f>J4/Assumptions!$B$5</f>
        <v/>
      </c>
      <c r="L4" s="5">
        <f>J4/Assumptions!$B$6</f>
        <v/>
      </c>
    </row>
    <row r="5">
      <c r="A5" t="inlineStr">
        <is>
          <t>R7 (FY2025)</t>
        </is>
      </c>
      <c r="B5">
        <f>COUNTIF(Data!$A$2:$A$114,A5)</f>
        <v/>
      </c>
      <c r="C5" s="3">
        <f>SUMIFS(Data!$I$2:$I$114,Data!$A$2:$A$114,A5)</f>
        <v/>
      </c>
      <c r="D5" s="3">
        <f>SUMIFS(Data!$L$2:$L$114,Data!$A$2:$A$114,A5)</f>
        <v/>
      </c>
      <c r="E5" s="3">
        <f>SUMIFS(Data!$N$2:$N$114,Data!$A$2:$A$114,A5)</f>
        <v/>
      </c>
      <c r="F5" s="3">
        <f>SUMIFS(Data!$N$2:$N$114,Data!$A$2:$A$114,A5,Data!$M$2:$M$114,"Cut*")</f>
        <v/>
      </c>
      <c r="G5" s="3">
        <f>SUMIFS(Data!$N$2:$N$114,Data!$A$2:$A$114,A5,Data!$M$2:$M$114,"Extr*")</f>
        <v/>
      </c>
      <c r="H5" s="4">
        <f>F5/E5</f>
        <v/>
      </c>
      <c r="I5" s="3">
        <f>E5*Assumptions!$B$2</f>
        <v/>
      </c>
      <c r="J5" s="3">
        <f>F5*Assumptions!$B$3*Assumptions!$B$2</f>
        <v/>
      </c>
      <c r="K5" s="5">
        <f>J5/Assumptions!$B$5</f>
        <v/>
      </c>
      <c r="L5" s="5">
        <f>J5/Assumptions!$B$6</f>
        <v/>
      </c>
    </row>
    <row r="6">
      <c r="A6" t="inlineStr">
        <is>
          <t>R8 (FY2026)</t>
        </is>
      </c>
      <c r="B6">
        <f>COUNTIF(Data!$A$2:$A$114,A6)</f>
        <v/>
      </c>
      <c r="C6" s="3">
        <f>SUMIFS(Data!$I$2:$I$114,Data!$A$2:$A$114,A6)</f>
        <v/>
      </c>
      <c r="D6" s="3">
        <f>SUMIFS(Data!$L$2:$L$114,Data!$A$2:$A$114,A6)</f>
        <v/>
      </c>
      <c r="E6" s="3">
        <f>SUMIFS(Data!$N$2:$N$114,Data!$A$2:$A$114,A6)</f>
        <v/>
      </c>
      <c r="F6" s="3">
        <f>SUMIFS(Data!$N$2:$N$114,Data!$A$2:$A$114,A6,Data!$M$2:$M$114,"Cut*")</f>
        <v/>
      </c>
      <c r="G6" s="3">
        <f>SUMIFS(Data!$N$2:$N$114,Data!$A$2:$A$114,A6,Data!$M$2:$M$114,"Extr*")</f>
        <v/>
      </c>
      <c r="H6" s="4">
        <f>F6/E6</f>
        <v/>
      </c>
      <c r="I6" s="3">
        <f>E6*Assumptions!$B$2</f>
        <v/>
      </c>
      <c r="J6" s="3">
        <f>F6*Assumptions!$B$3*Assumptions!$B$2</f>
        <v/>
      </c>
      <c r="K6" s="5">
        <f>J6/Assumptions!$B$5</f>
        <v/>
      </c>
      <c r="L6" s="5">
        <f>J6/Assumptions!$B$6</f>
        <v/>
      </c>
    </row>
    <row r="7">
      <c r="A7" s="6" t="inlineStr">
        <is>
          <t>Total</t>
        </is>
      </c>
      <c r="B7" s="6">
        <f>SUM(B4:B6)</f>
        <v/>
      </c>
      <c r="C7" s="7">
        <f>SUM(C4:C6)</f>
        <v/>
      </c>
      <c r="D7" s="7">
        <f>SUM(D4:D6)</f>
        <v/>
      </c>
      <c r="E7" s="7">
        <f>SUM(E4:E6)</f>
        <v/>
      </c>
      <c r="F7" s="7">
        <f>SUM(F4:F6)</f>
        <v/>
      </c>
      <c r="G7" s="7">
        <f>SUM(G4:G6)</f>
        <v/>
      </c>
      <c r="H7" s="8">
        <f>F7/E7</f>
        <v/>
      </c>
      <c r="I7" s="7">
        <f>SUM(I4:I6)</f>
        <v/>
      </c>
      <c r="J7" s="7">
        <f>SUM(J4:J6)</f>
        <v/>
      </c>
      <c r="K7" s="9" t="inlineStr"/>
      <c r="L7" s="9" t="inlineStr"/>
    </row>
    <row r="9" ht="45" customHeight="1">
      <c r="A9" s="10" t="inlineStr">
        <is>
          <t>Reading: "Recoverable CHP fuel" = cut-&amp;-leave m³ × recovery share (Assumptions B3) × density. Coverage ≥1.0x means the village plan alone could feed one 50 kWe unit for 24 h/yr operation (on paper, if wood were routed to it).</t>
        </is>
      </c>
    </row>
    <row r="11">
      <c r="A11" s="6" t="inlineStr">
        <is>
          <t>By Oaza 大字 (all years)</t>
        </is>
      </c>
    </row>
    <row r="12">
      <c r="A12" s="11" t="inlineStr">
        <is>
          <t>Oaza</t>
        </is>
      </c>
      <c r="B12" s="11" t="inlineStr">
        <is>
          <t>Parcels</t>
        </is>
      </c>
      <c r="C12" s="11" t="inlineStr">
        <is>
          <t>Area ha</t>
        </is>
      </c>
      <c r="D12" s="11" t="inlineStr">
        <is>
          <t>Thinning vol m³</t>
        </is>
      </c>
      <c r="E12" s="11" t="inlineStr">
        <is>
          <t>Cut &amp; leave m³</t>
        </is>
      </c>
      <c r="F12" s="11" t="inlineStr">
        <is>
          <t>Extracted m³</t>
        </is>
      </c>
      <c r="G12" s="11" t="inlineStr">
        <is>
          <t>Share of village thinning</t>
        </is>
      </c>
      <c r="H12" s="11" t="n"/>
      <c r="I12" s="11" t="n"/>
      <c r="J12" s="11" t="n"/>
      <c r="K12" s="11" t="n"/>
      <c r="L12" s="11" t="n"/>
    </row>
    <row r="13">
      <c r="A13" t="inlineStr">
        <is>
          <t>菅野</t>
        </is>
      </c>
      <c r="B13">
        <f>COUNTIF(Data!$D$2:$D$114,A13)</f>
        <v/>
      </c>
      <c r="C13" s="3">
        <f>SUMIFS(Data!$I$2:$I$114,Data!$D$2:$D$114,A13)</f>
        <v/>
      </c>
      <c r="D13" s="3">
        <f>SUMIFS(Data!$N$2:$N$114,Data!$D$2:$D$114,A13)</f>
        <v/>
      </c>
      <c r="E13" s="3">
        <f>SUMIFS(Data!$N$2:$N$114,Data!$D$2:$D$114,A13,Data!$M$2:$M$114,"Cut*")</f>
        <v/>
      </c>
      <c r="F13" s="3">
        <f>SUMIFS(Data!$N$2:$N$114,Data!$D$2:$D$114,A13,Data!$M$2:$M$114,"Extr*")</f>
        <v/>
      </c>
      <c r="G13" s="4">
        <f>D13/$E$7</f>
        <v/>
      </c>
    </row>
    <row r="14">
      <c r="A14" t="inlineStr">
        <is>
          <t>神末</t>
        </is>
      </c>
      <c r="B14">
        <f>COUNTIF(Data!$D$2:$D$114,A14)</f>
        <v/>
      </c>
      <c r="C14" s="3">
        <f>SUMIFS(Data!$I$2:$I$114,Data!$D$2:$D$114,A14)</f>
        <v/>
      </c>
      <c r="D14" s="3">
        <f>SUMIFS(Data!$N$2:$N$114,Data!$D$2:$D$114,A14)</f>
        <v/>
      </c>
      <c r="E14" s="3">
        <f>SUMIFS(Data!$N$2:$N$114,Data!$D$2:$D$114,A14,Data!$M$2:$M$114,"Cut*")</f>
        <v/>
      </c>
      <c r="F14" s="3">
        <f>SUMIFS(Data!$N$2:$N$114,Data!$D$2:$D$114,A14,Data!$M$2:$M$114,"Extr*")</f>
        <v/>
      </c>
      <c r="G14" s="4">
        <f>D14/$E$7</f>
        <v/>
      </c>
    </row>
    <row r="15">
      <c r="A15" t="inlineStr">
        <is>
          <t>土屋原</t>
        </is>
      </c>
      <c r="B15">
        <f>COUNTIF(Data!$D$2:$D$114,A15)</f>
        <v/>
      </c>
      <c r="C15" s="3">
        <f>SUMIFS(Data!$I$2:$I$114,Data!$D$2:$D$114,A15)</f>
        <v/>
      </c>
      <c r="D15" s="3">
        <f>SUMIFS(Data!$N$2:$N$114,Data!$D$2:$D$114,A15)</f>
        <v/>
      </c>
      <c r="E15" s="3">
        <f>SUMIFS(Data!$N$2:$N$114,Data!$D$2:$D$114,A15,Data!$M$2:$M$114,"Cut*")</f>
        <v/>
      </c>
      <c r="F15" s="3">
        <f>SUMIFS(Data!$N$2:$N$114,Data!$D$2:$D$114,A15,Data!$M$2:$M$114,"Extr*")</f>
        <v/>
      </c>
      <c r="G15" s="4">
        <f>D15/$E$7</f>
        <v/>
      </c>
    </row>
    <row r="16">
      <c r="A16" t="inlineStr">
        <is>
          <t>桃俣</t>
        </is>
      </c>
      <c r="B16">
        <f>COUNTIF(Data!$D$2:$D$114,A16)</f>
        <v/>
      </c>
      <c r="C16" s="3">
        <f>SUMIFS(Data!$I$2:$I$114,Data!$D$2:$D$114,A16)</f>
        <v/>
      </c>
      <c r="D16" s="3">
        <f>SUMIFS(Data!$N$2:$N$114,Data!$D$2:$D$114,A16)</f>
        <v/>
      </c>
      <c r="E16" s="3">
        <f>SUMIFS(Data!$N$2:$N$114,Data!$D$2:$D$114,A16,Data!$M$2:$M$114,"Cut*")</f>
        <v/>
      </c>
      <c r="F16" s="3">
        <f>SUMIFS(Data!$N$2:$N$114,Data!$D$2:$D$114,A16,Data!$M$2:$M$114,"Extr*")</f>
        <v/>
      </c>
      <c r="G16" s="4">
        <f>D16/$E$7</f>
        <v/>
      </c>
    </row>
    <row r="18">
      <c r="A18" s="6" t="inlineStr">
        <is>
          <t>By program 事業名 (all years)</t>
        </is>
      </c>
    </row>
    <row r="19">
      <c r="A19" s="11" t="inlineStr">
        <is>
          <t>Program</t>
        </is>
      </c>
      <c r="B19" s="11" t="inlineStr">
        <is>
          <t>Parcels</t>
        </is>
      </c>
      <c r="C19" s="11" t="inlineStr">
        <is>
          <t>Area ha</t>
        </is>
      </c>
      <c r="D19" s="11" t="inlineStr">
        <is>
          <t>Thinning vol m³</t>
        </is>
      </c>
      <c r="E19" s="11" t="inlineStr">
        <is>
          <t>Subsidy rate (typ.)</t>
        </is>
      </c>
      <c r="F19" s="11" t="n"/>
      <c r="G19" s="11" t="n"/>
      <c r="H19" s="11" t="n"/>
      <c r="I19" s="11" t="n"/>
      <c r="J19" s="11" t="n"/>
      <c r="K19" s="11" t="n"/>
      <c r="L19" s="11" t="n"/>
    </row>
    <row r="20">
      <c r="A20" t="inlineStr">
        <is>
          <t>施業放置林整備事業</t>
        </is>
      </c>
      <c r="B20">
        <f>COUNTIF(Data!$Q$2:$Q$114,A20)</f>
        <v/>
      </c>
      <c r="C20" s="3">
        <f>SUMIFS(Data!$I$2:$I$114,Data!$Q$2:$Q$114,A20)</f>
        <v/>
      </c>
      <c r="D20" s="3">
        <f>SUMIFS(Data!$N$2:$N$114,Data!$Q$2:$Q$114,A20)</f>
        <v/>
      </c>
      <c r="E20" t="inlineStr">
        <is>
          <t>34%</t>
        </is>
      </c>
    </row>
    <row r="21">
      <c r="A21" t="inlineStr">
        <is>
          <t>美しい森林づくり基盤整備事業</t>
        </is>
      </c>
      <c r="B21">
        <f>COUNTIF(Data!$Q$2:$Q$114,A21)</f>
        <v/>
      </c>
      <c r="C21" s="3">
        <f>SUMIFS(Data!$I$2:$I$114,Data!$Q$2:$Q$114,A21)</f>
        <v/>
      </c>
      <c r="D21" s="3">
        <f>SUMIFS(Data!$N$2:$N$114,Data!$Q$2:$Q$114,A21)</f>
        <v/>
      </c>
      <c r="E21" t="inlineStr">
        <is>
          <t>20% (requested)</t>
        </is>
      </c>
    </row>
    <row r="22">
      <c r="A22" t="inlineStr">
        <is>
          <t>森林資源適正推進事業</t>
        </is>
      </c>
      <c r="B22">
        <f>COUNTIF(Data!$Q$2:$Q$114,A22)</f>
        <v/>
      </c>
      <c r="C22" s="3">
        <f>SUMIFS(Data!$I$2:$I$114,Data!$Q$2:$Q$114,A22)</f>
        <v/>
      </c>
      <c r="D22" s="3">
        <f>SUMIFS(Data!$N$2:$N$114,Data!$Q$2:$Q$114,A22)</f>
        <v/>
      </c>
      <c r="E22" t="inlineStr">
        <is>
          <t>20-30%</t>
        </is>
      </c>
    </row>
  </sheetData>
  <mergeCells count="1">
    <mergeCell ref="A9:L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11" customWidth="1" min="3" max="3"/>
    <col width="10" customWidth="1" min="4" max="4"/>
    <col width="24" customWidth="1" min="5" max="5"/>
    <col width="8" customWidth="1" min="6" max="6"/>
    <col width="8" customWidth="1" min="7" max="7"/>
    <col width="30" customWidth="1" min="8" max="8"/>
    <col width="9" customWidth="1" min="9" max="9"/>
    <col width="11" customWidth="1" min="10" max="10"/>
    <col width="9" customWidth="1" min="11" max="11"/>
    <col width="11" customWidth="1" min="12" max="12"/>
    <col width="20" customWidth="1" min="13" max="13"/>
    <col width="11" customWidth="1" min="14" max="14"/>
    <col width="9" customWidth="1" min="15" max="15"/>
    <col width="9" customWidth="1" min="16" max="16"/>
    <col width="30" customWidth="1" min="17" max="17"/>
    <col width="10" customWidth="1" min="18" max="18"/>
    <col width="9" customWidth="1" min="19" max="19"/>
  </cols>
  <sheetData>
    <row r="1">
      <c r="A1" s="12" t="inlineStr">
        <is>
          <t>Plan year</t>
        </is>
      </c>
      <c r="B1" s="12" t="inlineStr">
        <is>
          <t>No.</t>
        </is>
      </c>
      <c r="C1" s="12" t="inlineStr">
        <is>
          <t>Owner type</t>
        </is>
      </c>
      <c r="D1" s="12" t="inlineStr">
        <is>
          <t>Oaza 大字</t>
        </is>
      </c>
      <c r="E1" s="12" t="inlineStr">
        <is>
          <t>Chiban 地番</t>
        </is>
      </c>
      <c r="F1" s="12" t="inlineStr">
        <is>
          <t>Rinban 林班</t>
        </is>
      </c>
      <c r="G1" s="12" t="inlineStr">
        <is>
          <t>Shohan 小班</t>
        </is>
      </c>
      <c r="H1" s="12" t="inlineStr">
        <is>
          <t>Operation no. 施業番号</t>
        </is>
      </c>
      <c r="I1" s="12" t="inlineStr">
        <is>
          <t>Area ha</t>
        </is>
      </c>
      <c r="J1" s="12" t="inlineStr">
        <is>
          <t>Species</t>
        </is>
      </c>
      <c r="K1" s="12" t="inlineStr">
        <is>
          <t>Stand age</t>
        </is>
      </c>
      <c r="L1" s="12" t="inlineStr">
        <is>
          <t>Standing vol m³</t>
        </is>
      </c>
      <c r="M1" s="12" t="inlineStr">
        <is>
          <t>Thinning method</t>
        </is>
      </c>
      <c r="N1" s="12" t="inlineStr">
        <is>
          <t>Thinning vol m³</t>
        </is>
      </c>
      <c r="O1" s="12" t="inlineStr">
        <is>
          <t>Thinning rate %</t>
        </is>
      </c>
      <c r="P1" s="12" t="inlineStr">
        <is>
          <t>Subsidy request</t>
        </is>
      </c>
      <c r="Q1" s="12" t="inlineStr">
        <is>
          <t>Program 事業名</t>
        </is>
      </c>
      <c r="R1" s="12" t="inlineStr">
        <is>
          <t>Thin vol ÷ standing %</t>
        </is>
      </c>
      <c r="S1" s="12" t="inlineStr">
        <is>
          <t>Check</t>
        </is>
      </c>
    </row>
    <row r="2">
      <c r="A2" t="inlineStr">
        <is>
          <t>R6 (FY2024)</t>
        </is>
      </c>
      <c r="B2" t="n">
        <v>301</v>
      </c>
      <c r="C2" t="inlineStr">
        <is>
          <t>森林所有者</t>
        </is>
      </c>
      <c r="D2" t="inlineStr">
        <is>
          <t>神末</t>
        </is>
      </c>
      <c r="E2" t="inlineStr">
        <is>
          <t>2229-3</t>
        </is>
      </c>
      <c r="F2" t="inlineStr">
        <is>
          <t>15</t>
        </is>
      </c>
      <c r="G2" t="inlineStr">
        <is>
          <t>イ</t>
        </is>
      </c>
      <c r="H2" t="inlineStr">
        <is>
          <t>(1.2.4)チ</t>
        </is>
      </c>
      <c r="I2" t="n">
        <v>0.33</v>
      </c>
      <c r="J2" t="inlineStr">
        <is>
          <t>スギ/ヒノキ</t>
        </is>
      </c>
      <c r="K2" t="n">
        <v>55</v>
      </c>
      <c r="L2" t="n">
        <v>85</v>
      </c>
      <c r="M2" t="inlineStr">
        <is>
          <t>Cut &amp; leave (伐捨)</t>
        </is>
      </c>
      <c r="N2" t="n">
        <v>29</v>
      </c>
      <c r="O2" t="n">
        <v>34</v>
      </c>
      <c r="P2" t="inlineStr"/>
      <c r="Q2" t="inlineStr">
        <is>
          <t>施業放置林整備事業</t>
        </is>
      </c>
      <c r="R2" s="13">
        <f>N2/L2*100</f>
        <v/>
      </c>
      <c r="S2" t="inlineStr">
        <is>
          <t>ok</t>
        </is>
      </c>
    </row>
    <row r="3">
      <c r="A3" t="inlineStr">
        <is>
          <t>R6 (FY2024)</t>
        </is>
      </c>
      <c r="B3" t="n">
        <v>302</v>
      </c>
      <c r="C3" t="inlineStr">
        <is>
          <t>森林所有者</t>
        </is>
      </c>
      <c r="D3" t="inlineStr">
        <is>
          <t>神末</t>
        </is>
      </c>
      <c r="E3" t="inlineStr">
        <is>
          <t>2179-86.-87</t>
        </is>
      </c>
      <c r="F3" t="inlineStr">
        <is>
          <t>15</t>
        </is>
      </c>
      <c r="G3" t="inlineStr">
        <is>
          <t>イ</t>
        </is>
      </c>
      <c r="H3" t="inlineStr">
        <is>
          <t>(1.2.3.4.5.6.7)ノチ</t>
        </is>
      </c>
      <c r="I3" t="n">
        <v>3.82</v>
      </c>
      <c r="J3" t="inlineStr">
        <is>
          <t>スギ/ヒノキ</t>
        </is>
      </c>
      <c r="K3" t="n">
        <v>55</v>
      </c>
      <c r="L3" t="n">
        <v>982</v>
      </c>
      <c r="M3" t="inlineStr">
        <is>
          <t>Cut &amp; leave (伐捨)</t>
        </is>
      </c>
      <c r="N3" t="n">
        <v>334</v>
      </c>
      <c r="O3" t="n">
        <v>34</v>
      </c>
      <c r="P3" t="inlineStr"/>
      <c r="Q3" t="inlineStr">
        <is>
          <t>施業放置林整備事業</t>
        </is>
      </c>
      <c r="R3" s="13">
        <f>N3/L3*100</f>
        <v/>
      </c>
      <c r="S3" t="inlineStr">
        <is>
          <t>ok</t>
        </is>
      </c>
    </row>
    <row r="4">
      <c r="A4" t="inlineStr">
        <is>
          <t>R6 (FY2024)</t>
        </is>
      </c>
      <c r="B4" t="n">
        <v>303</v>
      </c>
      <c r="C4" t="inlineStr">
        <is>
          <t>森林所有者</t>
        </is>
      </c>
      <c r="D4" t="inlineStr">
        <is>
          <t>神末</t>
        </is>
      </c>
      <c r="E4" t="inlineStr">
        <is>
          <t>1884-69</t>
        </is>
      </c>
      <c r="F4" t="inlineStr">
        <is>
          <t>18</t>
        </is>
      </c>
      <c r="G4" t="inlineStr">
        <is>
          <t>二</t>
        </is>
      </c>
      <c r="H4" t="inlineStr">
        <is>
          <t>4ノチ</t>
        </is>
      </c>
      <c r="I4" t="n">
        <v>0.9</v>
      </c>
      <c r="J4" t="inlineStr">
        <is>
          <t>スギ/ヒノキ</t>
        </is>
      </c>
      <c r="K4" t="n">
        <v>58</v>
      </c>
      <c r="L4" t="n">
        <v>288</v>
      </c>
      <c r="M4" t="inlineStr">
        <is>
          <t>Cut &amp; leave (伐捨)</t>
        </is>
      </c>
      <c r="N4" t="n">
        <v>98</v>
      </c>
      <c r="O4" t="n">
        <v>34</v>
      </c>
      <c r="P4" t="inlineStr"/>
      <c r="Q4" t="inlineStr">
        <is>
          <t>施業放置林整備事業</t>
        </is>
      </c>
      <c r="R4" s="13">
        <f>N4/L4*100</f>
        <v/>
      </c>
      <c r="S4" t="inlineStr">
        <is>
          <t>ok</t>
        </is>
      </c>
    </row>
    <row r="5">
      <c r="A5" t="inlineStr">
        <is>
          <t>R6 (FY2024)</t>
        </is>
      </c>
      <c r="B5" t="n">
        <v>304</v>
      </c>
      <c r="C5" t="inlineStr">
        <is>
          <t>森林所有者</t>
        </is>
      </c>
      <c r="D5" t="inlineStr">
        <is>
          <t>神末</t>
        </is>
      </c>
      <c r="E5" t="inlineStr">
        <is>
          <t>1756-1</t>
        </is>
      </c>
      <c r="F5" t="inlineStr">
        <is>
          <t>27</t>
        </is>
      </c>
      <c r="G5" t="inlineStr">
        <is>
          <t>八</t>
        </is>
      </c>
      <c r="H5" t="inlineStr">
        <is>
          <t>(3.4)ウチ</t>
        </is>
      </c>
      <c r="I5" t="n">
        <v>1.58</v>
      </c>
      <c r="J5" t="inlineStr">
        <is>
          <t>スギ/ヒノキ</t>
        </is>
      </c>
      <c r="K5" t="n">
        <v>54</v>
      </c>
      <c r="L5" t="n">
        <v>406</v>
      </c>
      <c r="M5" t="inlineStr">
        <is>
          <t>Cut &amp; leave (伐捨)</t>
        </is>
      </c>
      <c r="N5" t="n">
        <v>139</v>
      </c>
      <c r="O5" t="n">
        <v>34</v>
      </c>
      <c r="P5" t="inlineStr"/>
      <c r="Q5" t="inlineStr">
        <is>
          <t>施業放置林整備事業</t>
        </is>
      </c>
      <c r="R5" s="13">
        <f>N5/L5*100</f>
        <v/>
      </c>
      <c r="S5" t="inlineStr">
        <is>
          <t>ok</t>
        </is>
      </c>
    </row>
    <row r="6">
      <c r="A6" t="inlineStr">
        <is>
          <t>R6 (FY2024)</t>
        </is>
      </c>
      <c r="B6" t="n">
        <v>305</v>
      </c>
      <c r="C6" t="inlineStr">
        <is>
          <t>森林所有者</t>
        </is>
      </c>
      <c r="D6" t="inlineStr">
        <is>
          <t>神末</t>
        </is>
      </c>
      <c r="E6" t="inlineStr">
        <is>
          <t>1737-1.1738-1.1739</t>
        </is>
      </c>
      <c r="F6" t="inlineStr">
        <is>
          <t>27</t>
        </is>
      </c>
      <c r="G6" t="inlineStr">
        <is>
          <t>木二</t>
        </is>
      </c>
      <c r="H6" t="inlineStr">
        <is>
          <t>(1.2)チ(9.10)ノチ</t>
        </is>
      </c>
      <c r="I6" t="n">
        <v>0.93</v>
      </c>
      <c r="J6" t="inlineStr">
        <is>
          <t>スギ/ヒノキ</t>
        </is>
      </c>
      <c r="K6" t="n">
        <v>50</v>
      </c>
      <c r="L6" t="n">
        <v>239</v>
      </c>
      <c r="M6" t="inlineStr">
        <is>
          <t>Cut &amp; leave (伐捨)</t>
        </is>
      </c>
      <c r="N6" t="n">
        <v>82</v>
      </c>
      <c r="O6" t="n">
        <v>34</v>
      </c>
      <c r="P6" t="inlineStr"/>
      <c r="Q6" t="inlineStr">
        <is>
          <t>施業放置林整備事業</t>
        </is>
      </c>
      <c r="R6" s="13">
        <f>N6/L6*100</f>
        <v/>
      </c>
      <c r="S6" t="inlineStr">
        <is>
          <t>ok</t>
        </is>
      </c>
    </row>
    <row r="7">
      <c r="A7" t="inlineStr">
        <is>
          <t>R6 (FY2024)</t>
        </is>
      </c>
      <c r="B7" t="n">
        <v>306</v>
      </c>
      <c r="C7" t="inlineStr">
        <is>
          <t>森林所有者</t>
        </is>
      </c>
      <c r="D7" t="inlineStr">
        <is>
          <t>神末</t>
        </is>
      </c>
      <c r="E7" t="inlineStr">
        <is>
          <t>1604.1623.1624</t>
        </is>
      </c>
      <c r="F7" t="inlineStr">
        <is>
          <t>28</t>
        </is>
      </c>
      <c r="G7" t="inlineStr">
        <is>
          <t>八</t>
        </is>
      </c>
      <c r="H7" t="inlineStr">
        <is>
          <t>(10~12)ノウチ</t>
        </is>
      </c>
      <c r="I7" t="n">
        <v>2.39</v>
      </c>
      <c r="J7" t="inlineStr">
        <is>
          <t>スギ/ヒノキ</t>
        </is>
      </c>
      <c r="K7" t="n">
        <v>59</v>
      </c>
      <c r="L7" t="n">
        <v>765</v>
      </c>
      <c r="M7" t="inlineStr">
        <is>
          <t>Cut &amp; leave (伐捨)</t>
        </is>
      </c>
      <c r="N7" t="n">
        <v>261</v>
      </c>
      <c r="O7" t="n">
        <v>34</v>
      </c>
      <c r="P7" t="inlineStr"/>
      <c r="Q7" t="inlineStr">
        <is>
          <t>施業放置林整備事業</t>
        </is>
      </c>
      <c r="R7" s="13">
        <f>N7/L7*100</f>
        <v/>
      </c>
      <c r="S7" t="inlineStr">
        <is>
          <t>ok</t>
        </is>
      </c>
    </row>
    <row r="8">
      <c r="A8" t="inlineStr">
        <is>
          <t>R6 (FY2024)</t>
        </is>
      </c>
      <c r="B8" t="n">
        <v>307</v>
      </c>
      <c r="C8" t="inlineStr">
        <is>
          <t>森林所有者</t>
        </is>
      </c>
      <c r="D8" t="inlineStr">
        <is>
          <t>神末</t>
        </is>
      </c>
      <c r="E8" t="inlineStr">
        <is>
          <t>1621.1622</t>
        </is>
      </c>
      <c r="F8" t="inlineStr">
        <is>
          <t>28</t>
        </is>
      </c>
      <c r="G8" t="inlineStr">
        <is>
          <t>八</t>
        </is>
      </c>
      <c r="H8" t="inlineStr">
        <is>
          <t>13ノウチ</t>
        </is>
      </c>
      <c r="I8" t="n">
        <v>0.13</v>
      </c>
      <c r="J8" t="inlineStr">
        <is>
          <t>スギ/ヒノキ</t>
        </is>
      </c>
      <c r="K8" t="n">
        <v>58</v>
      </c>
      <c r="L8" t="n">
        <v>42</v>
      </c>
      <c r="M8" t="inlineStr">
        <is>
          <t>Cut &amp; leave (伐捨)</t>
        </is>
      </c>
      <c r="N8" t="n">
        <v>15</v>
      </c>
      <c r="O8" t="n">
        <v>34</v>
      </c>
      <c r="P8" t="inlineStr"/>
      <c r="Q8" t="inlineStr">
        <is>
          <t>施業放置林整備事業</t>
        </is>
      </c>
      <c r="R8" s="13">
        <f>N8/L8*100</f>
        <v/>
      </c>
      <c r="S8" t="inlineStr">
        <is>
          <t>ok</t>
        </is>
      </c>
    </row>
    <row r="9">
      <c r="A9" t="inlineStr">
        <is>
          <t>R6 (FY2024)</t>
        </is>
      </c>
      <c r="B9" t="n">
        <v>308</v>
      </c>
      <c r="C9" t="inlineStr">
        <is>
          <t>森林所有者</t>
        </is>
      </c>
      <c r="D9" t="inlineStr">
        <is>
          <t>神末</t>
        </is>
      </c>
      <c r="E9" t="inlineStr">
        <is>
          <t>É 1604</t>
        </is>
      </c>
      <c r="F9" t="inlineStr">
        <is>
          <t>28</t>
        </is>
      </c>
      <c r="G9" t="inlineStr">
        <is>
          <t>二</t>
        </is>
      </c>
      <c r="H9" t="inlineStr">
        <is>
          <t>1ノチ</t>
        </is>
      </c>
      <c r="I9" t="n">
        <v>0.3</v>
      </c>
      <c r="J9" t="inlineStr">
        <is>
          <t>スギ/ヒノキ</t>
        </is>
      </c>
      <c r="K9" t="n">
        <v>58</v>
      </c>
      <c r="L9" t="n">
        <v>96</v>
      </c>
      <c r="M9" t="inlineStr">
        <is>
          <t>Cut &amp; leave (伐捨)</t>
        </is>
      </c>
      <c r="N9" t="n">
        <v>33</v>
      </c>
      <c r="O9" t="n">
        <v>34</v>
      </c>
      <c r="P9" t="inlineStr"/>
      <c r="Q9" t="inlineStr">
        <is>
          <t>施業放置林整備事業</t>
        </is>
      </c>
      <c r="R9" s="13">
        <f>N9/L9*100</f>
        <v/>
      </c>
      <c r="S9" t="inlineStr">
        <is>
          <t>ok</t>
        </is>
      </c>
    </row>
    <row r="10">
      <c r="A10" t="inlineStr">
        <is>
          <t>R6 (FY2024)</t>
        </is>
      </c>
      <c r="B10" t="n">
        <v>309</v>
      </c>
      <c r="C10" t="inlineStr">
        <is>
          <t>森林所有者</t>
        </is>
      </c>
      <c r="D10" t="inlineStr">
        <is>
          <t>神末</t>
        </is>
      </c>
      <c r="E10" t="inlineStr">
        <is>
          <t>1166.1167.1169</t>
        </is>
      </c>
      <c r="F10" t="inlineStr">
        <is>
          <t>29</t>
        </is>
      </c>
      <c r="G10" t="inlineStr">
        <is>
          <t>ル卜</t>
        </is>
      </c>
      <c r="H10" t="inlineStr">
        <is>
          <t>12)チ(6.10)ノチ</t>
        </is>
      </c>
      <c r="I10" t="n">
        <v>0.44</v>
      </c>
      <c r="J10" t="inlineStr">
        <is>
          <t>スギ/ヒノキ</t>
        </is>
      </c>
      <c r="K10" t="n">
        <v>55</v>
      </c>
      <c r="L10" t="n">
        <v>113</v>
      </c>
      <c r="M10" t="inlineStr">
        <is>
          <t>Cut &amp; leave (伐捨)</t>
        </is>
      </c>
      <c r="N10" t="n">
        <v>39</v>
      </c>
      <c r="O10" t="n">
        <v>34</v>
      </c>
      <c r="P10" t="inlineStr"/>
      <c r="Q10" t="inlineStr">
        <is>
          <t>施業放置林整備事業</t>
        </is>
      </c>
      <c r="R10" s="13">
        <f>N10/L10*100</f>
        <v/>
      </c>
      <c r="S10" t="inlineStr">
        <is>
          <t>ok</t>
        </is>
      </c>
    </row>
    <row r="11">
      <c r="A11" t="inlineStr">
        <is>
          <t>R6 (FY2024)</t>
        </is>
      </c>
      <c r="B11" t="n">
        <v>310</v>
      </c>
      <c r="C11" t="inlineStr">
        <is>
          <t>森林所有者</t>
        </is>
      </c>
      <c r="D11" t="inlineStr">
        <is>
          <t>神末</t>
        </is>
      </c>
      <c r="E11" t="inlineStr">
        <is>
          <t>48.-114.-136.-137.-141.-143. 020</t>
        </is>
      </c>
      <c r="F11" t="inlineStr">
        <is>
          <t>30</t>
        </is>
      </c>
      <c r="G11" t="inlineStr">
        <is>
          <t>イ</t>
        </is>
      </c>
      <c r="H11" t="inlineStr">
        <is>
          <t>(18~22.24.26.37)/チ</t>
        </is>
      </c>
      <c r="I11" t="n">
        <v>2.41</v>
      </c>
      <c r="J11" t="inlineStr">
        <is>
          <t>スギ/ヒノキ</t>
        </is>
      </c>
      <c r="K11" t="n">
        <v>56</v>
      </c>
      <c r="L11" t="n">
        <v>771</v>
      </c>
      <c r="M11" t="inlineStr">
        <is>
          <t>Cut &amp; leave (伐捨)</t>
        </is>
      </c>
      <c r="N11" t="n">
        <v>263</v>
      </c>
      <c r="O11" t="n">
        <v>34</v>
      </c>
      <c r="P11" t="inlineStr"/>
      <c r="Q11" t="inlineStr">
        <is>
          <t>施業放置林整備事業</t>
        </is>
      </c>
      <c r="R11" s="13">
        <f>N11/L11*100</f>
        <v/>
      </c>
      <c r="S11" t="inlineStr">
        <is>
          <t>ok</t>
        </is>
      </c>
    </row>
    <row r="12">
      <c r="A12" t="inlineStr">
        <is>
          <t>R6 (FY2024)</t>
        </is>
      </c>
      <c r="B12" t="n">
        <v>311</v>
      </c>
      <c r="C12" t="inlineStr">
        <is>
          <t>森林所有者</t>
        </is>
      </c>
      <c r="D12" t="inlineStr">
        <is>
          <t>菅野</t>
        </is>
      </c>
      <c r="E12" t="inlineStr">
        <is>
          <t>2168.2960-36</t>
        </is>
      </c>
      <c r="F12" t="inlineStr">
        <is>
          <t>34</t>
        </is>
      </c>
      <c r="G12" t="inlineStr">
        <is>
          <t>八二</t>
        </is>
      </c>
      <c r="H12" t="inlineStr">
        <is>
          <t>(25.28)/チ(3.4)ノチ</t>
        </is>
      </c>
      <c r="I12" t="n">
        <v>1.35</v>
      </c>
      <c r="J12" t="inlineStr">
        <is>
          <t>スギ/ヒノキ</t>
        </is>
      </c>
      <c r="K12" t="n">
        <v>31</v>
      </c>
      <c r="L12" t="n">
        <v>279</v>
      </c>
      <c r="M12" t="inlineStr">
        <is>
          <t>Cut &amp; leave (伐捨)</t>
        </is>
      </c>
      <c r="N12" t="n">
        <v>96</v>
      </c>
      <c r="O12" t="n">
        <v>34</v>
      </c>
      <c r="P12" t="inlineStr"/>
      <c r="Q12" t="inlineStr">
        <is>
          <t>施業放置林整備事業</t>
        </is>
      </c>
      <c r="R12" s="13">
        <f>N12/L12*100</f>
        <v/>
      </c>
      <c r="S12" t="inlineStr">
        <is>
          <t>ok</t>
        </is>
      </c>
    </row>
    <row r="13">
      <c r="A13" t="inlineStr">
        <is>
          <t>R6 (FY2024)</t>
        </is>
      </c>
      <c r="B13" t="n">
        <v>312</v>
      </c>
      <c r="C13" t="inlineStr">
        <is>
          <t>森林所有者</t>
        </is>
      </c>
      <c r="D13" t="inlineStr">
        <is>
          <t>菅野</t>
        </is>
      </c>
      <c r="E13" t="inlineStr">
        <is>
          <t>2960-185</t>
        </is>
      </c>
      <c r="F13" t="inlineStr">
        <is>
          <t>35</t>
        </is>
      </c>
      <c r="G13" t="inlineStr">
        <is>
          <t>イ</t>
        </is>
      </c>
      <c r="H13" t="inlineStr">
        <is>
          <t>(16.17)ノチ</t>
        </is>
      </c>
      <c r="I13" t="n">
        <v>0.99</v>
      </c>
      <c r="J13" t="inlineStr">
        <is>
          <t>スギ/ヒノキ</t>
        </is>
      </c>
      <c r="K13" t="n">
        <v>59</v>
      </c>
      <c r="L13" t="n">
        <v>317</v>
      </c>
      <c r="M13" t="inlineStr">
        <is>
          <t>Cut &amp; leave (伐捨)</t>
        </is>
      </c>
      <c r="N13" t="n">
        <v>108</v>
      </c>
      <c r="O13" t="n">
        <v>34</v>
      </c>
      <c r="P13" t="inlineStr"/>
      <c r="Q13" t="inlineStr">
        <is>
          <t>施業放置林整備事業</t>
        </is>
      </c>
      <c r="R13" s="13">
        <f>N13/L13*100</f>
        <v/>
      </c>
      <c r="S13" t="inlineStr">
        <is>
          <t>ok</t>
        </is>
      </c>
    </row>
    <row r="14">
      <c r="A14" t="inlineStr">
        <is>
          <t>R6 (FY2024)</t>
        </is>
      </c>
      <c r="B14" t="n">
        <v>313</v>
      </c>
      <c r="C14" t="inlineStr">
        <is>
          <t>森林所有者</t>
        </is>
      </c>
      <c r="D14" t="inlineStr">
        <is>
          <t>菅野</t>
        </is>
      </c>
      <c r="E14" t="inlineStr">
        <is>
          <t>(1068-8.-63.-76.-87.-97)/チ</t>
        </is>
      </c>
      <c r="F14" t="inlineStr">
        <is>
          <t>39</t>
        </is>
      </c>
      <c r="G14" t="inlineStr">
        <is>
          <t>1口</t>
        </is>
      </c>
      <c r="H14" t="inlineStr">
        <is>
          <t>(1.2.3)チ1ノチ</t>
        </is>
      </c>
      <c r="I14" t="n">
        <v>7.81</v>
      </c>
      <c r="J14" t="inlineStr">
        <is>
          <t>スギ/ヒノキ</t>
        </is>
      </c>
      <c r="K14" t="n">
        <v>52</v>
      </c>
      <c r="L14" t="n">
        <v>2007</v>
      </c>
      <c r="M14" t="inlineStr">
        <is>
          <t>Cut &amp; leave (伐捨)</t>
        </is>
      </c>
      <c r="N14" t="n">
        <v>683</v>
      </c>
      <c r="O14" t="n">
        <v>34</v>
      </c>
      <c r="P14" t="inlineStr"/>
      <c r="Q14" t="inlineStr">
        <is>
          <t>施業放置林整備事業</t>
        </is>
      </c>
      <c r="R14" s="13">
        <f>N14/L14*100</f>
        <v/>
      </c>
      <c r="S14" t="inlineStr">
        <is>
          <t>ok</t>
        </is>
      </c>
    </row>
    <row r="15">
      <c r="A15" t="inlineStr">
        <is>
          <t>R6 (FY2024)</t>
        </is>
      </c>
      <c r="B15" t="n">
        <v>314</v>
      </c>
      <c r="C15" t="inlineStr">
        <is>
          <t>森林所有者</t>
        </is>
      </c>
      <c r="D15" t="inlineStr">
        <is>
          <t>菅野</t>
        </is>
      </c>
      <c r="E15" t="inlineStr">
        <is>
          <t>(1068-8.-63.-76.-87.-97)/チ</t>
        </is>
      </c>
      <c r="F15" t="inlineStr">
        <is>
          <t>39</t>
        </is>
      </c>
      <c r="G15" t="inlineStr">
        <is>
          <t>イ口八</t>
        </is>
      </c>
      <c r="H15" t="inlineStr">
        <is>
          <t>3ノウチ(1.2.3)ノウチ1ノウチ</t>
        </is>
      </c>
      <c r="I15" t="n">
        <v>13.4</v>
      </c>
      <c r="J15" t="inlineStr">
        <is>
          <t>スギ/ヒノキ</t>
        </is>
      </c>
      <c r="K15" t="n">
        <v>52</v>
      </c>
      <c r="L15" t="n">
        <v>3444</v>
      </c>
      <c r="M15" t="inlineStr">
        <is>
          <t>Cut &amp; leave (伐捨)</t>
        </is>
      </c>
      <c r="N15" t="n">
        <v>1171</v>
      </c>
      <c r="O15" t="n">
        <v>34</v>
      </c>
      <c r="P15" t="inlineStr"/>
      <c r="Q15" t="inlineStr">
        <is>
          <t>施業放置林整備事業</t>
        </is>
      </c>
      <c r="R15" s="13">
        <f>N15/L15*100</f>
        <v/>
      </c>
      <c r="S15" t="inlineStr">
        <is>
          <t>ok</t>
        </is>
      </c>
    </row>
    <row r="16">
      <c r="A16" t="inlineStr">
        <is>
          <t>R6 (FY2024)</t>
        </is>
      </c>
      <c r="B16" t="n">
        <v>315</v>
      </c>
      <c r="C16" t="inlineStr">
        <is>
          <t>森林所有者</t>
        </is>
      </c>
      <c r="D16" t="inlineStr">
        <is>
          <t>菅野</t>
        </is>
      </c>
      <c r="E16" t="inlineStr">
        <is>
          <t>1068-63.-76</t>
        </is>
      </c>
      <c r="F16" t="inlineStr">
        <is>
          <t>39</t>
        </is>
      </c>
      <c r="G16" t="inlineStr">
        <is>
          <t>八</t>
        </is>
      </c>
      <c r="H16" t="inlineStr">
        <is>
          <t>(1~5)ノウチ</t>
        </is>
      </c>
      <c r="I16" t="n">
        <v>9.08</v>
      </c>
      <c r="J16" t="inlineStr">
        <is>
          <t>スギ/ヒノキ</t>
        </is>
      </c>
      <c r="K16" t="n">
        <v>52</v>
      </c>
      <c r="L16" t="n">
        <v>2334</v>
      </c>
      <c r="M16" t="inlineStr">
        <is>
          <t>Cut &amp; leave (伐捨)</t>
        </is>
      </c>
      <c r="N16" t="n">
        <v>794</v>
      </c>
      <c r="O16" t="n">
        <v>34</v>
      </c>
      <c r="P16" t="inlineStr"/>
      <c r="Q16" t="inlineStr">
        <is>
          <t>施業放置林整備事業</t>
        </is>
      </c>
      <c r="R16" s="13">
        <f>N16/L16*100</f>
        <v/>
      </c>
      <c r="S16" t="inlineStr">
        <is>
          <t>ok</t>
        </is>
      </c>
    </row>
    <row r="17">
      <c r="A17" t="inlineStr">
        <is>
          <t>R6 (FY2024)</t>
        </is>
      </c>
      <c r="B17" t="n">
        <v>316</v>
      </c>
      <c r="C17" t="inlineStr">
        <is>
          <t>森林所有者</t>
        </is>
      </c>
      <c r="D17" t="inlineStr">
        <is>
          <t>土屋原</t>
        </is>
      </c>
      <c r="E17" t="inlineStr">
        <is>
          <t>2665</t>
        </is>
      </c>
      <c r="F17" t="inlineStr">
        <is>
          <t>51</t>
        </is>
      </c>
      <c r="G17" t="inlineStr">
        <is>
          <t>二</t>
        </is>
      </c>
      <c r="H17" t="inlineStr">
        <is>
          <t>(15.16.17)/チ</t>
        </is>
      </c>
      <c r="I17" t="n">
        <v>0.7</v>
      </c>
      <c r="J17" t="inlineStr">
        <is>
          <t>スギ/ヒノキ</t>
        </is>
      </c>
      <c r="K17" t="n">
        <v>49</v>
      </c>
      <c r="L17" t="n">
        <v>180</v>
      </c>
      <c r="M17" t="inlineStr">
        <is>
          <t>Cut &amp; leave (伐捨)</t>
        </is>
      </c>
      <c r="N17" t="n">
        <v>62</v>
      </c>
      <c r="O17" t="n">
        <v>34</v>
      </c>
      <c r="P17" t="inlineStr"/>
      <c r="Q17" t="inlineStr">
        <is>
          <t>施業放置林整備事業</t>
        </is>
      </c>
      <c r="R17" s="13">
        <f>N17/L17*100</f>
        <v/>
      </c>
      <c r="S17" t="inlineStr">
        <is>
          <t>ok</t>
        </is>
      </c>
    </row>
    <row r="18">
      <c r="A18" t="inlineStr">
        <is>
          <t>R6 (FY2024)</t>
        </is>
      </c>
      <c r="B18" t="n">
        <v>317</v>
      </c>
      <c r="C18" t="inlineStr">
        <is>
          <t>森林所有者</t>
        </is>
      </c>
      <c r="D18" t="inlineStr">
        <is>
          <t>土屋原</t>
        </is>
      </c>
      <c r="E18" t="inlineStr">
        <is>
          <t>2663.2669.2671</t>
        </is>
      </c>
      <c r="F18" t="inlineStr">
        <is>
          <t>52</t>
        </is>
      </c>
      <c r="G18" t="inlineStr">
        <is>
          <t>1</t>
        </is>
      </c>
      <c r="H18" t="inlineStr">
        <is>
          <t>(9.10)ノチ</t>
        </is>
      </c>
      <c r="I18" t="n">
        <v>0.86</v>
      </c>
      <c r="J18" t="inlineStr">
        <is>
          <t>スギ/ヒノキ</t>
        </is>
      </c>
      <c r="K18" t="n">
        <v>52</v>
      </c>
      <c r="L18" t="n">
        <v>221</v>
      </c>
      <c r="M18" t="inlineStr">
        <is>
          <t>Cut &amp; leave (伐捨)</t>
        </is>
      </c>
      <c r="N18" t="n">
        <v>76</v>
      </c>
      <c r="O18" t="n">
        <v>34</v>
      </c>
      <c r="P18" t="inlineStr"/>
      <c r="Q18" t="inlineStr">
        <is>
          <t>施業放置林整備事業</t>
        </is>
      </c>
      <c r="R18" s="13">
        <f>N18/L18*100</f>
        <v/>
      </c>
      <c r="S18" t="inlineStr">
        <is>
          <t>ok</t>
        </is>
      </c>
    </row>
    <row r="19">
      <c r="A19" t="inlineStr">
        <is>
          <t>R6 (FY2024)</t>
        </is>
      </c>
      <c r="B19" t="n">
        <v>319</v>
      </c>
      <c r="C19" t="inlineStr">
        <is>
          <t>森林所有者</t>
        </is>
      </c>
      <c r="D19" t="inlineStr">
        <is>
          <t>土屋原</t>
        </is>
      </c>
      <c r="E19" t="inlineStr">
        <is>
          <t>2792-52</t>
        </is>
      </c>
      <c r="F19" t="inlineStr">
        <is>
          <t>52</t>
        </is>
      </c>
      <c r="G19" t="inlineStr">
        <is>
          <t>二</t>
        </is>
      </c>
      <c r="H19" t="inlineStr">
        <is>
          <t>(3.4.5)チ</t>
        </is>
      </c>
      <c r="I19" t="n">
        <v>0.92</v>
      </c>
      <c r="J19" t="inlineStr">
        <is>
          <t>スギ/ヒノキ</t>
        </is>
      </c>
      <c r="K19" t="n">
        <v>59</v>
      </c>
      <c r="L19" t="n">
        <v>294</v>
      </c>
      <c r="M19" t="inlineStr">
        <is>
          <t>Cut &amp; leave (伐捨)</t>
        </is>
      </c>
      <c r="N19" t="n">
        <v>101</v>
      </c>
      <c r="O19" t="n">
        <v>34</v>
      </c>
      <c r="P19" t="inlineStr"/>
      <c r="Q19" t="inlineStr">
        <is>
          <t>施業放置林整備事業</t>
        </is>
      </c>
      <c r="R19" s="13">
        <f>N19/L19*100</f>
        <v/>
      </c>
      <c r="S19" t="inlineStr">
        <is>
          <t>ok</t>
        </is>
      </c>
    </row>
    <row r="20">
      <c r="A20" t="inlineStr">
        <is>
          <t>R6 (FY2024)</t>
        </is>
      </c>
      <c r="B20" t="n">
        <v>320</v>
      </c>
      <c r="C20" t="inlineStr">
        <is>
          <t>森林所有者</t>
        </is>
      </c>
      <c r="D20" t="inlineStr">
        <is>
          <t>土屋原</t>
        </is>
      </c>
      <c r="E20" t="inlineStr">
        <is>
          <t>2792-48.-49</t>
        </is>
      </c>
      <c r="F20" t="inlineStr">
        <is>
          <t>52</t>
        </is>
      </c>
      <c r="G20" t="inlineStr">
        <is>
          <t>二</t>
        </is>
      </c>
      <c r="H20" t="inlineStr">
        <is>
          <t>(11~18)ノチ</t>
        </is>
      </c>
      <c r="I20" t="n">
        <v>3.86</v>
      </c>
      <c r="J20" t="inlineStr">
        <is>
          <t>スギ/ヒノキ</t>
        </is>
      </c>
      <c r="K20" t="n">
        <v>59</v>
      </c>
      <c r="L20" t="n">
        <v>1235</v>
      </c>
      <c r="M20" t="inlineStr">
        <is>
          <t>Cut &amp; leave (伐捨)</t>
        </is>
      </c>
      <c r="N20" t="n">
        <v>420</v>
      </c>
      <c r="O20" t="n">
        <v>34</v>
      </c>
      <c r="P20" t="inlineStr"/>
      <c r="Q20" t="inlineStr">
        <is>
          <t>施業放置林整備事業</t>
        </is>
      </c>
      <c r="R20" s="13">
        <f>N20/L20*100</f>
        <v/>
      </c>
      <c r="S20" t="inlineStr">
        <is>
          <t>ok</t>
        </is>
      </c>
    </row>
    <row r="21">
      <c r="A21" t="inlineStr">
        <is>
          <t>R6 (FY2024)</t>
        </is>
      </c>
      <c r="B21" t="n">
        <v>321</v>
      </c>
      <c r="C21" t="inlineStr">
        <is>
          <t>森林所有者</t>
        </is>
      </c>
      <c r="D21" t="inlineStr">
        <is>
          <t>土屋原</t>
        </is>
      </c>
      <c r="E21" t="inlineStr">
        <is>
          <t>2792-7.-86.-89</t>
        </is>
      </c>
      <c r="F21" t="inlineStr">
        <is>
          <t>523</t>
        </is>
      </c>
      <c r="G21" t="inlineStr">
        <is>
          <t>二</t>
        </is>
      </c>
      <c r="H21" t="inlineStr">
        <is>
          <t>(34~38.40~43)ノチ(1.12)ノチ</t>
        </is>
      </c>
      <c r="I21" t="n">
        <v>2.24</v>
      </c>
      <c r="J21" t="inlineStr">
        <is>
          <t>スギ/ヒノキ</t>
        </is>
      </c>
      <c r="K21" t="n">
        <v>73</v>
      </c>
      <c r="L21" t="n">
        <v>757</v>
      </c>
      <c r="M21" t="inlineStr">
        <is>
          <t>Cut &amp; leave (伐捨)</t>
        </is>
      </c>
      <c r="N21" t="n">
        <v>258</v>
      </c>
      <c r="O21" t="n">
        <v>34</v>
      </c>
      <c r="P21" t="inlineStr"/>
      <c r="Q21" t="inlineStr">
        <is>
          <t>施業放置林整備事業</t>
        </is>
      </c>
      <c r="R21" s="13">
        <f>N21/L21*100</f>
        <v/>
      </c>
      <c r="S21" t="inlineStr">
        <is>
          <t>ok</t>
        </is>
      </c>
    </row>
    <row r="22">
      <c r="A22" t="inlineStr">
        <is>
          <t>R6 (FY2024)</t>
        </is>
      </c>
      <c r="B22" t="n">
        <v>322</v>
      </c>
      <c r="C22" t="inlineStr">
        <is>
          <t>森林所有者</t>
        </is>
      </c>
      <c r="D22" t="inlineStr">
        <is>
          <t>土屋原</t>
        </is>
      </c>
      <c r="E22" t="inlineStr">
        <is>
          <t>2873-1</t>
        </is>
      </c>
      <c r="F22" t="inlineStr">
        <is>
          <t>54</t>
        </is>
      </c>
      <c r="G22" t="inlineStr">
        <is>
          <t>八</t>
        </is>
      </c>
      <c r="H22" t="inlineStr">
        <is>
          <t>(27.28)チ</t>
        </is>
      </c>
      <c r="I22" t="n">
        <v>0.13</v>
      </c>
      <c r="J22" t="inlineStr">
        <is>
          <t>スギ/ヒノキ</t>
        </is>
      </c>
      <c r="K22" t="n">
        <v>55</v>
      </c>
      <c r="L22" t="n">
        <v>33</v>
      </c>
      <c r="M22" t="inlineStr">
        <is>
          <t>Cut &amp; leave (伐捨)</t>
        </is>
      </c>
      <c r="N22" t="n">
        <v>12</v>
      </c>
      <c r="O22" t="n">
        <v>34</v>
      </c>
      <c r="P22" t="inlineStr"/>
      <c r="Q22" t="inlineStr">
        <is>
          <t>施業放置林整備事業</t>
        </is>
      </c>
      <c r="R22" s="13">
        <f>N22/L22*100</f>
        <v/>
      </c>
      <c r="S22" t="inlineStr">
        <is>
          <t>ok</t>
        </is>
      </c>
    </row>
    <row r="23">
      <c r="A23" t="inlineStr">
        <is>
          <t>R6 (FY2024)</t>
        </is>
      </c>
      <c r="B23" t="n">
        <v>329</v>
      </c>
      <c r="C23" t="inlineStr">
        <is>
          <t>森林所有者</t>
        </is>
      </c>
      <c r="D23" t="inlineStr">
        <is>
          <t>土屋原</t>
        </is>
      </c>
      <c r="E23" t="inlineStr">
        <is>
          <t>874-23.-25.-33.-34</t>
        </is>
      </c>
      <c r="F23" t="inlineStr">
        <is>
          <t>69</t>
        </is>
      </c>
      <c r="G23" t="inlineStr">
        <is>
          <t>口</t>
        </is>
      </c>
      <c r="H23" t="inlineStr">
        <is>
          <t>(12.14.15.16)チ</t>
        </is>
      </c>
      <c r="I23" t="n">
        <v>1.59</v>
      </c>
      <c r="J23" t="inlineStr">
        <is>
          <t>スギ/ヒノキ</t>
        </is>
      </c>
      <c r="K23" t="n">
        <v>57</v>
      </c>
      <c r="L23" t="n">
        <v>509</v>
      </c>
      <c r="M23" t="inlineStr">
        <is>
          <t>Cut &amp; leave (伐捨)</t>
        </is>
      </c>
      <c r="N23" t="n">
        <v>173</v>
      </c>
      <c r="O23" t="n">
        <v>34</v>
      </c>
      <c r="P23" t="inlineStr"/>
      <c r="Q23" t="inlineStr">
        <is>
          <t>施業放置林整備事業</t>
        </is>
      </c>
      <c r="R23" s="13">
        <f>N23/L23*100</f>
        <v/>
      </c>
      <c r="S23" t="inlineStr">
        <is>
          <t>ok</t>
        </is>
      </c>
    </row>
    <row r="24">
      <c r="A24" t="inlineStr">
        <is>
          <t>R6 (FY2024)</t>
        </is>
      </c>
      <c r="B24" t="n">
        <v>330</v>
      </c>
      <c r="C24" t="inlineStr">
        <is>
          <t>森林所有者</t>
        </is>
      </c>
      <c r="D24" t="inlineStr">
        <is>
          <t>桃俣</t>
        </is>
      </c>
      <c r="E24" t="inlineStr">
        <is>
          <t>1876-52.-2067</t>
        </is>
      </c>
      <c r="F24" t="inlineStr">
        <is>
          <t>71</t>
        </is>
      </c>
      <c r="G24" t="inlineStr">
        <is>
          <t>1</t>
        </is>
      </c>
      <c r="H24" t="inlineStr">
        <is>
          <t>4/チ</t>
        </is>
      </c>
      <c r="I24" t="n">
        <v>0.91</v>
      </c>
      <c r="J24" t="inlineStr">
        <is>
          <t>スギ/ヒノキ</t>
        </is>
      </c>
      <c r="K24" t="n">
        <v>55</v>
      </c>
      <c r="L24" t="n">
        <v>234</v>
      </c>
      <c r="M24" t="inlineStr">
        <is>
          <t>Cut &amp; leave (伐捨)</t>
        </is>
      </c>
      <c r="N24" t="n">
        <v>80</v>
      </c>
      <c r="O24" t="n">
        <v>34</v>
      </c>
      <c r="P24" t="inlineStr"/>
      <c r="Q24" t="inlineStr">
        <is>
          <t>施業放置林整備事業</t>
        </is>
      </c>
      <c r="R24" s="13">
        <f>N24/L24*100</f>
        <v/>
      </c>
      <c r="S24" t="inlineStr">
        <is>
          <t>ok</t>
        </is>
      </c>
    </row>
    <row r="25">
      <c r="A25" t="inlineStr">
        <is>
          <t>R6 (FY2024)</t>
        </is>
      </c>
      <c r="B25" t="n">
        <v>332</v>
      </c>
      <c r="C25" t="inlineStr">
        <is>
          <t>森林所有者</t>
        </is>
      </c>
      <c r="D25" t="inlineStr">
        <is>
          <t>桃俣</t>
        </is>
      </c>
      <c r="E25" t="inlineStr">
        <is>
          <t>1772-1-12-2</t>
        </is>
      </c>
      <c r="F25" t="inlineStr">
        <is>
          <t>82 83</t>
        </is>
      </c>
      <c r="G25" t="inlineStr">
        <is>
          <t>リ口</t>
        </is>
      </c>
      <c r="H25" t="inlineStr">
        <is>
          <t>(4.5.6)ノチ2ノチ</t>
        </is>
      </c>
      <c r="I25" t="n">
        <v>2.94</v>
      </c>
      <c r="J25" t="inlineStr">
        <is>
          <t>スギ/ヒノキ</t>
        </is>
      </c>
      <c r="K25" t="n">
        <v>50</v>
      </c>
      <c r="L25" t="n">
        <v>756</v>
      </c>
      <c r="M25" t="inlineStr">
        <is>
          <t>Cut &amp; leave (伐捨)</t>
        </is>
      </c>
      <c r="N25" t="n">
        <v>257</v>
      </c>
      <c r="O25" t="n">
        <v>34</v>
      </c>
      <c r="P25" t="inlineStr"/>
      <c r="Q25" t="inlineStr">
        <is>
          <t>施業放置林整備事業</t>
        </is>
      </c>
      <c r="R25" s="13">
        <f>N25/L25*100</f>
        <v/>
      </c>
      <c r="S25" t="inlineStr">
        <is>
          <t>ok</t>
        </is>
      </c>
    </row>
    <row r="26">
      <c r="A26" t="inlineStr">
        <is>
          <t>R6 (FY2024)</t>
        </is>
      </c>
      <c r="B26" t="n">
        <v>333</v>
      </c>
      <c r="C26" t="inlineStr">
        <is>
          <t>森林所有者</t>
        </is>
      </c>
      <c r="D26" t="inlineStr">
        <is>
          <t>桃俣</t>
        </is>
      </c>
      <c r="E26" t="inlineStr">
        <is>
          <t>611-9.-10.-13</t>
        </is>
      </c>
      <c r="F26" t="inlineStr">
        <is>
          <t>87</t>
        </is>
      </c>
      <c r="G26" t="inlineStr">
        <is>
          <t>八</t>
        </is>
      </c>
      <c r="H26" t="inlineStr">
        <is>
          <t>(30.32.33.34.40)/チ</t>
        </is>
      </c>
      <c r="I26" t="n">
        <v>0.64</v>
      </c>
      <c r="J26" t="inlineStr">
        <is>
          <t>スギ/ヒノキ</t>
        </is>
      </c>
      <c r="K26" t="n">
        <v>55</v>
      </c>
      <c r="L26" t="n">
        <v>164</v>
      </c>
      <c r="M26" t="inlineStr">
        <is>
          <t>Cut &amp; leave (伐捨)</t>
        </is>
      </c>
      <c r="N26" t="n">
        <v>56</v>
      </c>
      <c r="O26" t="n">
        <v>34</v>
      </c>
      <c r="P26" t="inlineStr"/>
      <c r="Q26" t="inlineStr">
        <is>
          <t>施業放置林整備事業</t>
        </is>
      </c>
      <c r="R26" s="13">
        <f>N26/L26*100</f>
        <v/>
      </c>
      <c r="S26" t="inlineStr">
        <is>
          <t>ok</t>
        </is>
      </c>
    </row>
    <row r="27">
      <c r="A27" t="inlineStr">
        <is>
          <t>R6 (FY2024)</t>
        </is>
      </c>
      <c r="B27" t="n">
        <v>334</v>
      </c>
      <c r="C27" t="inlineStr">
        <is>
          <t>森林所有者</t>
        </is>
      </c>
      <c r="D27" t="inlineStr">
        <is>
          <t>桃俣</t>
        </is>
      </c>
      <c r="E27" t="inlineStr">
        <is>
          <t>1140-119</t>
        </is>
      </c>
      <c r="F27" t="inlineStr">
        <is>
          <t>85</t>
        </is>
      </c>
      <c r="G27" t="inlineStr">
        <is>
          <t>1</t>
        </is>
      </c>
      <c r="H27" t="inlineStr">
        <is>
          <t>(10.11)ノチ</t>
        </is>
      </c>
      <c r="I27" t="n">
        <v>1.11</v>
      </c>
      <c r="J27" t="inlineStr">
        <is>
          <t>スギ/ヒノキ</t>
        </is>
      </c>
      <c r="K27" t="n">
        <v>71</v>
      </c>
      <c r="L27" t="n">
        <v>375</v>
      </c>
      <c r="M27" t="inlineStr">
        <is>
          <t>Cut &amp; leave (伐捨)</t>
        </is>
      </c>
      <c r="N27" t="n">
        <v>128</v>
      </c>
      <c r="O27" t="n">
        <v>34</v>
      </c>
      <c r="P27" t="inlineStr"/>
      <c r="Q27" t="inlineStr">
        <is>
          <t>施業放置林整備事業</t>
        </is>
      </c>
      <c r="R27" s="13">
        <f>N27/L27*100</f>
        <v/>
      </c>
      <c r="S27" t="inlineStr">
        <is>
          <t>ok</t>
        </is>
      </c>
    </row>
    <row r="28">
      <c r="A28" t="inlineStr">
        <is>
          <t>R6 (FY2024)</t>
        </is>
      </c>
      <c r="B28" t="n">
        <v>336</v>
      </c>
      <c r="C28" t="inlineStr">
        <is>
          <t>森林所有者</t>
        </is>
      </c>
      <c r="D28" t="inlineStr">
        <is>
          <t>土屋原</t>
        </is>
      </c>
      <c r="E28" t="inlineStr">
        <is>
          <t>435.436.442.3375</t>
        </is>
      </c>
      <c r="F28" t="inlineStr">
        <is>
          <t>90</t>
        </is>
      </c>
      <c r="G28" t="inlineStr">
        <is>
          <t>口</t>
        </is>
      </c>
      <c r="H28" t="inlineStr">
        <is>
          <t>(22.23.24.25.26)/チ</t>
        </is>
      </c>
      <c r="I28" t="n">
        <v>1.12</v>
      </c>
      <c r="J28" t="inlineStr">
        <is>
          <t>スギ/ヒノキ</t>
        </is>
      </c>
      <c r="K28" t="n">
        <v>59</v>
      </c>
      <c r="L28" t="n">
        <v>358</v>
      </c>
      <c r="M28" t="inlineStr">
        <is>
          <t>Cut &amp; leave (伐捨)</t>
        </is>
      </c>
      <c r="N28" t="n">
        <v>122</v>
      </c>
      <c r="O28" t="n">
        <v>34</v>
      </c>
      <c r="P28" t="inlineStr"/>
      <c r="Q28" t="inlineStr">
        <is>
          <t>施業放置林整備事業</t>
        </is>
      </c>
      <c r="R28" s="13">
        <f>N28/L28*100</f>
        <v/>
      </c>
      <c r="S28" t="inlineStr">
        <is>
          <t>ok</t>
        </is>
      </c>
    </row>
    <row r="29">
      <c r="A29" t="inlineStr">
        <is>
          <t>R6 (FY2024)</t>
        </is>
      </c>
      <c r="B29" t="n">
        <v>337</v>
      </c>
      <c r="C29" t="inlineStr">
        <is>
          <t>森林所有者</t>
        </is>
      </c>
      <c r="D29" t="inlineStr">
        <is>
          <t>土屋原</t>
        </is>
      </c>
      <c r="E29" t="inlineStr">
        <is>
          <t>435-89</t>
        </is>
      </c>
      <c r="F29" t="inlineStr">
        <is>
          <t>90</t>
        </is>
      </c>
      <c r="G29" t="inlineStr">
        <is>
          <t>口</t>
        </is>
      </c>
      <c r="H29" t="inlineStr">
        <is>
          <t>47ノウチ</t>
        </is>
      </c>
      <c r="I29" t="n">
        <v>0.34</v>
      </c>
      <c r="J29" t="inlineStr">
        <is>
          <t>スギ/ヒノキ</t>
        </is>
      </c>
      <c r="K29" t="n">
        <v>50</v>
      </c>
      <c r="L29" t="n">
        <v>87</v>
      </c>
      <c r="M29" t="inlineStr">
        <is>
          <t>Cut &amp; leave (伐捨)</t>
        </is>
      </c>
      <c r="N29" t="n">
        <v>30</v>
      </c>
      <c r="O29" t="n">
        <v>34</v>
      </c>
      <c r="P29" t="inlineStr"/>
      <c r="Q29" t="inlineStr">
        <is>
          <t>施業放置林整備事業</t>
        </is>
      </c>
      <c r="R29" s="13">
        <f>N29/L29*100</f>
        <v/>
      </c>
      <c r="S29" t="inlineStr">
        <is>
          <t>ok</t>
        </is>
      </c>
    </row>
    <row r="30">
      <c r="A30" t="inlineStr">
        <is>
          <t>R6 (FY2024)</t>
        </is>
      </c>
      <c r="B30" t="n">
        <v>338</v>
      </c>
      <c r="C30" t="inlineStr">
        <is>
          <t>森林所有者</t>
        </is>
      </c>
      <c r="D30" t="inlineStr">
        <is>
          <t>土屋原</t>
        </is>
      </c>
      <c r="E30" t="inlineStr">
        <is>
          <t>435-89</t>
        </is>
      </c>
      <c r="F30" t="inlineStr">
        <is>
          <t>90</t>
        </is>
      </c>
      <c r="G30" t="inlineStr">
        <is>
          <t>八 口</t>
        </is>
      </c>
      <c r="H30" t="inlineStr">
        <is>
          <t>(1~3.6.7.40)ノチ47ノチ</t>
        </is>
      </c>
      <c r="I30" t="n">
        <v>1.31</v>
      </c>
      <c r="J30" t="inlineStr">
        <is>
          <t>スギ/ヒノキ</t>
        </is>
      </c>
      <c r="K30" t="n">
        <v>63</v>
      </c>
      <c r="L30" t="n">
        <v>443</v>
      </c>
      <c r="M30" t="inlineStr">
        <is>
          <t>Cut &amp; leave (伐捨)</t>
        </is>
      </c>
      <c r="N30" t="n">
        <v>151</v>
      </c>
      <c r="O30" t="n">
        <v>34</v>
      </c>
      <c r="P30" t="inlineStr"/>
      <c r="Q30" t="inlineStr">
        <is>
          <t>施業放置林整備事業</t>
        </is>
      </c>
      <c r="R30" s="13">
        <f>N30/L30*100</f>
        <v/>
      </c>
      <c r="S30" t="inlineStr">
        <is>
          <t>ok</t>
        </is>
      </c>
    </row>
    <row r="31">
      <c r="A31" t="inlineStr">
        <is>
          <t>R6 (FY2024)</t>
        </is>
      </c>
      <c r="B31" t="n">
        <v>339</v>
      </c>
      <c r="C31" t="inlineStr">
        <is>
          <t>森林所有者</t>
        </is>
      </c>
      <c r="D31" t="inlineStr">
        <is>
          <t>土屋原</t>
        </is>
      </c>
      <c r="E31" t="inlineStr">
        <is>
          <t>1814-98</t>
        </is>
      </c>
      <c r="F31" t="inlineStr">
        <is>
          <t>91</t>
        </is>
      </c>
      <c r="G31" t="inlineStr">
        <is>
          <t>へ</t>
        </is>
      </c>
      <c r="H31" t="inlineStr">
        <is>
          <t>(35~38.42.43)/チ</t>
        </is>
      </c>
      <c r="I31" t="n">
        <v>0.39</v>
      </c>
      <c r="J31" t="inlineStr">
        <is>
          <t>スギ/ヒノキ</t>
        </is>
      </c>
      <c r="K31" t="n">
        <v>50</v>
      </c>
      <c r="L31" t="n">
        <v>100</v>
      </c>
      <c r="M31" t="inlineStr">
        <is>
          <t>Cut &amp; leave (伐捨)</t>
        </is>
      </c>
      <c r="N31" t="n">
        <v>35</v>
      </c>
      <c r="O31" t="n">
        <v>34</v>
      </c>
      <c r="P31" t="inlineStr"/>
      <c r="Q31" t="inlineStr">
        <is>
          <t>施業放置林整備事業</t>
        </is>
      </c>
      <c r="R31" s="13">
        <f>N31/L31*100</f>
        <v/>
      </c>
      <c r="S31" t="inlineStr">
        <is>
          <t>ok</t>
        </is>
      </c>
    </row>
    <row r="32">
      <c r="A32" t="inlineStr">
        <is>
          <t>R6 (FY2024)</t>
        </is>
      </c>
      <c r="B32" t="n">
        <v>340</v>
      </c>
      <c r="C32" t="inlineStr">
        <is>
          <t>森林所有者</t>
        </is>
      </c>
      <c r="D32" t="inlineStr">
        <is>
          <t>菅野</t>
        </is>
      </c>
      <c r="E32" t="inlineStr">
        <is>
          <t>1786-150.2325</t>
        </is>
      </c>
      <c r="F32" t="inlineStr">
        <is>
          <t>96</t>
        </is>
      </c>
      <c r="G32" t="inlineStr">
        <is>
          <t>口</t>
        </is>
      </c>
      <c r="H32" t="inlineStr">
        <is>
          <t>(5.6.7.9.23.24)チ</t>
        </is>
      </c>
      <c r="I32" t="n">
        <v>0.41</v>
      </c>
      <c r="J32" t="inlineStr">
        <is>
          <t>スギ/ヒノキ</t>
        </is>
      </c>
      <c r="K32" t="n">
        <v>59</v>
      </c>
      <c r="L32" t="n">
        <v>131</v>
      </c>
      <c r="M32" t="inlineStr">
        <is>
          <t>Cut &amp; leave (伐捨)</t>
        </is>
      </c>
      <c r="N32" t="n">
        <v>45</v>
      </c>
      <c r="O32" t="n">
        <v>34</v>
      </c>
      <c r="P32" t="inlineStr"/>
      <c r="Q32" t="inlineStr">
        <is>
          <t>施業放置林整備事業</t>
        </is>
      </c>
      <c r="R32" s="13">
        <f>N32/L32*100</f>
        <v/>
      </c>
      <c r="S32" t="inlineStr">
        <is>
          <t>ok</t>
        </is>
      </c>
    </row>
    <row r="33">
      <c r="A33" t="inlineStr">
        <is>
          <t>R6 (FY2024)</t>
        </is>
      </c>
      <c r="B33" t="n">
        <v>341</v>
      </c>
      <c r="C33" t="inlineStr">
        <is>
          <t>森林所有者</t>
        </is>
      </c>
      <c r="D33" t="inlineStr">
        <is>
          <t>菅野</t>
        </is>
      </c>
      <c r="E33" t="inlineStr">
        <is>
          <t>2361.1788-219</t>
        </is>
      </c>
      <c r="F33" t="inlineStr">
        <is>
          <t>96</t>
        </is>
      </c>
      <c r="G33" t="inlineStr">
        <is>
          <t>八 口</t>
        </is>
      </c>
      <c r="H33" t="inlineStr">
        <is>
          <t>(19.20.29)チ1/チ</t>
        </is>
      </c>
      <c r="I33" t="n">
        <v>0.65</v>
      </c>
      <c r="J33" t="inlineStr">
        <is>
          <t>スギ/ヒノキ</t>
        </is>
      </c>
      <c r="K33" t="n">
        <v>64</v>
      </c>
      <c r="L33" t="n">
        <v>220</v>
      </c>
      <c r="M33" t="inlineStr">
        <is>
          <t>Cut &amp; leave (伐捨)</t>
        </is>
      </c>
      <c r="N33" t="n">
        <v>75</v>
      </c>
      <c r="O33" t="n">
        <v>34</v>
      </c>
      <c r="P33" t="inlineStr"/>
      <c r="Q33" t="inlineStr">
        <is>
          <t>施業放置林整備事業</t>
        </is>
      </c>
      <c r="R33" s="13">
        <f>N33/L33*100</f>
        <v/>
      </c>
      <c r="S33" t="inlineStr">
        <is>
          <t>ok</t>
        </is>
      </c>
    </row>
    <row r="34">
      <c r="A34" t="inlineStr">
        <is>
          <t>R6 (FY2024)</t>
        </is>
      </c>
      <c r="B34" t="n">
        <v>351</v>
      </c>
      <c r="C34" t="inlineStr">
        <is>
          <t>森林所有者</t>
        </is>
      </c>
      <c r="D34" t="inlineStr">
        <is>
          <t>神末</t>
        </is>
      </c>
      <c r="E34" t="inlineStr">
        <is>
          <t>1810-1</t>
        </is>
      </c>
      <c r="F34" t="inlineStr">
        <is>
          <t>22</t>
        </is>
      </c>
      <c r="G34" t="inlineStr">
        <is>
          <t>八 F</t>
        </is>
      </c>
      <c r="H34" t="inlineStr">
        <is>
          <t>2ノウチ4ノウチ4ノチ3ノウチ(2.3)ノウチ</t>
        </is>
      </c>
      <c r="I34" t="n">
        <v>9.92</v>
      </c>
      <c r="J34" t="inlineStr">
        <is>
          <t>スギ/ヒノキ</t>
        </is>
      </c>
      <c r="K34" t="n">
        <v>67</v>
      </c>
      <c r="L34" t="n">
        <v>3353</v>
      </c>
      <c r="M34" t="inlineStr">
        <is>
          <t>Cut &amp; leave (伐捨)</t>
        </is>
      </c>
      <c r="N34" t="n">
        <v>671</v>
      </c>
      <c r="O34" t="n">
        <v>20</v>
      </c>
      <c r="P34" t="inlineStr">
        <is>
          <t>希望</t>
        </is>
      </c>
      <c r="Q34" t="inlineStr">
        <is>
          <t>美しい森林づくり基盤整備事業</t>
        </is>
      </c>
      <c r="R34" s="13">
        <f>N34/L34*100</f>
        <v/>
      </c>
      <c r="S34" t="inlineStr">
        <is>
          <t>ok</t>
        </is>
      </c>
    </row>
    <row r="35">
      <c r="A35" t="inlineStr">
        <is>
          <t>R6 (FY2024)</t>
        </is>
      </c>
      <c r="B35" t="n">
        <v>352</v>
      </c>
      <c r="C35" t="inlineStr">
        <is>
          <t>森林所有者</t>
        </is>
      </c>
      <c r="D35" t="inlineStr">
        <is>
          <t>桃俣</t>
        </is>
      </c>
      <c r="E35" t="inlineStr">
        <is>
          <t>1786-1</t>
        </is>
      </c>
      <c r="F35" t="inlineStr">
        <is>
          <t>72</t>
        </is>
      </c>
      <c r="G35" t="inlineStr">
        <is>
          <t>口</t>
        </is>
      </c>
      <c r="H35" t="inlineStr">
        <is>
          <t>(1.5)チ</t>
        </is>
      </c>
      <c r="I35" t="n">
        <v>3.66</v>
      </c>
      <c r="J35" t="inlineStr">
        <is>
          <t>スギ/ヒノキ</t>
        </is>
      </c>
      <c r="K35" t="n">
        <v>60</v>
      </c>
      <c r="L35" t="n">
        <v>1171</v>
      </c>
      <c r="M35" t="inlineStr">
        <is>
          <t>Extracted (搬出)</t>
        </is>
      </c>
      <c r="N35" t="n">
        <v>235</v>
      </c>
      <c r="O35" t="n">
        <v>20</v>
      </c>
      <c r="P35" t="inlineStr">
        <is>
          <t>希望</t>
        </is>
      </c>
      <c r="Q35" t="inlineStr">
        <is>
          <t>美しい森林づくり基盤整備事業</t>
        </is>
      </c>
      <c r="R35" s="13">
        <f>N35/L35*100</f>
        <v/>
      </c>
      <c r="S35" t="inlineStr">
        <is>
          <t>ok</t>
        </is>
      </c>
    </row>
    <row r="36">
      <c r="A36" t="inlineStr">
        <is>
          <t>R6 (FY2024)</t>
        </is>
      </c>
      <c r="B36" t="n">
        <v>359</v>
      </c>
      <c r="C36" t="inlineStr">
        <is>
          <t>森林所有者</t>
        </is>
      </c>
      <c r="D36" t="inlineStr">
        <is>
          <t>土屋原</t>
        </is>
      </c>
      <c r="E36" t="inlineStr">
        <is>
          <t>3278-1/ウチ</t>
        </is>
      </c>
      <c r="F36" t="inlineStr">
        <is>
          <t>56</t>
        </is>
      </c>
      <c r="G36" t="inlineStr">
        <is>
          <t>口</t>
        </is>
      </c>
      <c r="H36" t="inlineStr">
        <is>
          <t>1/チ</t>
        </is>
      </c>
      <c r="I36" t="n">
        <v>4.2</v>
      </c>
      <c r="J36" t="inlineStr">
        <is>
          <t>スギ/ヒノキ</t>
        </is>
      </c>
      <c r="K36" t="n">
        <v>80</v>
      </c>
      <c r="L36" t="n">
        <v>1420</v>
      </c>
      <c r="M36" t="inlineStr">
        <is>
          <t>Extracted (搬出)</t>
        </is>
      </c>
      <c r="N36" t="n">
        <v>284</v>
      </c>
      <c r="O36" t="n">
        <v>20</v>
      </c>
      <c r="P36" t="inlineStr">
        <is>
          <t>希望</t>
        </is>
      </c>
      <c r="Q36" t="inlineStr">
        <is>
          <t>美しい森林づくり基盤整備事業</t>
        </is>
      </c>
      <c r="R36" s="13">
        <f>N36/L36*100</f>
        <v/>
      </c>
      <c r="S36" t="inlineStr">
        <is>
          <t>ok</t>
        </is>
      </c>
    </row>
    <row r="37">
      <c r="A37" t="inlineStr">
        <is>
          <t>R6 (FY2024)</t>
        </is>
      </c>
      <c r="B37" t="n">
        <v>372</v>
      </c>
      <c r="C37" t="inlineStr">
        <is>
          <t>森林所有者</t>
        </is>
      </c>
      <c r="D37" t="inlineStr">
        <is>
          <t>神末</t>
        </is>
      </c>
      <c r="E37" t="inlineStr"/>
      <c r="F37" t="inlineStr">
        <is>
          <t>27</t>
        </is>
      </c>
      <c r="G37" t="inlineStr">
        <is>
          <t>^</t>
        </is>
      </c>
      <c r="H37" t="inlineStr">
        <is>
          <t>(7.8)チ</t>
        </is>
      </c>
      <c r="I37" t="n">
        <v>0.35</v>
      </c>
      <c r="J37" t="inlineStr">
        <is>
          <t>スギ/ヒノキ</t>
        </is>
      </c>
      <c r="K37" t="n">
        <v>66</v>
      </c>
      <c r="L37" t="n">
        <v>118</v>
      </c>
      <c r="M37" t="inlineStr">
        <is>
          <t>Cut &amp; leave (伐捨)</t>
        </is>
      </c>
      <c r="N37" t="n">
        <v>36</v>
      </c>
      <c r="O37" t="n">
        <v>30</v>
      </c>
      <c r="P37" t="inlineStr"/>
      <c r="Q37" t="inlineStr">
        <is>
          <t>森林資源適正推進事業</t>
        </is>
      </c>
      <c r="R37" s="13">
        <f>N37/L37*100</f>
        <v/>
      </c>
      <c r="S37" t="inlineStr">
        <is>
          <t>ok</t>
        </is>
      </c>
    </row>
    <row r="38">
      <c r="A38" t="inlineStr">
        <is>
          <t>R7 (FY2025)</t>
        </is>
      </c>
      <c r="B38" t="n">
        <v>354</v>
      </c>
      <c r="C38" t="inlineStr">
        <is>
          <t>森林所有者</t>
        </is>
      </c>
      <c r="D38" t="inlineStr">
        <is>
          <t>土屋原</t>
        </is>
      </c>
      <c r="E38" t="inlineStr">
        <is>
          <t>2860.2866.2792-35</t>
        </is>
      </c>
      <c r="F38" t="inlineStr">
        <is>
          <t>54</t>
        </is>
      </c>
      <c r="G38" t="inlineStr">
        <is>
          <t>八</t>
        </is>
      </c>
      <c r="H38" t="inlineStr">
        <is>
          <t>18.19.37</t>
        </is>
      </c>
      <c r="I38" t="n">
        <v>3.4</v>
      </c>
      <c r="J38" t="inlineStr">
        <is>
          <t>スギ/ヒノキ</t>
        </is>
      </c>
      <c r="K38" t="n">
        <v>60</v>
      </c>
      <c r="L38" t="n">
        <v>1088</v>
      </c>
      <c r="M38" t="inlineStr">
        <is>
          <t>Extracted (搬出)</t>
        </is>
      </c>
      <c r="N38" t="n">
        <v>218</v>
      </c>
      <c r="O38" t="n">
        <v>20</v>
      </c>
      <c r="P38" t="inlineStr">
        <is>
          <t>希望</t>
        </is>
      </c>
      <c r="Q38" t="inlineStr">
        <is>
          <t>美しい森林づくり基盤整備事業</t>
        </is>
      </c>
      <c r="R38" s="13">
        <f>N38/L38*100</f>
        <v/>
      </c>
      <c r="S38" t="inlineStr">
        <is>
          <t>ok</t>
        </is>
      </c>
    </row>
    <row r="39">
      <c r="A39" t="inlineStr">
        <is>
          <t>R7 (FY2025)</t>
        </is>
      </c>
      <c r="B39" t="n">
        <v>356</v>
      </c>
      <c r="C39" t="inlineStr">
        <is>
          <t>森林所有者</t>
        </is>
      </c>
      <c r="D39" t="inlineStr">
        <is>
          <t>桃俣</t>
        </is>
      </c>
      <c r="E39" t="inlineStr">
        <is>
          <t>1772-79</t>
        </is>
      </c>
      <c r="F39" t="inlineStr">
        <is>
          <t>82</t>
        </is>
      </c>
      <c r="G39" t="inlineStr">
        <is>
          <t>千</t>
        </is>
      </c>
      <c r="H39" t="inlineStr">
        <is>
          <t>(12.16.17.18.19)チ</t>
        </is>
      </c>
      <c r="I39" t="n">
        <v>0.21</v>
      </c>
      <c r="J39" t="inlineStr">
        <is>
          <t>スギ/ヒノキ</t>
        </is>
      </c>
      <c r="K39" t="n">
        <v>69</v>
      </c>
      <c r="L39" t="n">
        <v>71</v>
      </c>
      <c r="M39" t="inlineStr">
        <is>
          <t>Extracted (搬出)</t>
        </is>
      </c>
      <c r="N39" t="n">
        <v>15</v>
      </c>
      <c r="O39" t="n">
        <v>20</v>
      </c>
      <c r="P39" t="inlineStr"/>
      <c r="Q39" t="inlineStr">
        <is>
          <t>森林資源適正推進事業</t>
        </is>
      </c>
      <c r="R39" s="13">
        <f>N39/L39*100</f>
        <v/>
      </c>
      <c r="S39" t="inlineStr">
        <is>
          <t>ok</t>
        </is>
      </c>
    </row>
    <row r="40">
      <c r="A40" t="inlineStr">
        <is>
          <t>R7 (FY2025)</t>
        </is>
      </c>
      <c r="B40" t="n">
        <v>401</v>
      </c>
      <c r="C40" t="inlineStr">
        <is>
          <t>森林所有者</t>
        </is>
      </c>
      <c r="D40" t="inlineStr">
        <is>
          <t>神末</t>
        </is>
      </c>
      <c r="E40" t="inlineStr">
        <is>
          <t>3059-336</t>
        </is>
      </c>
      <c r="F40" t="inlineStr">
        <is>
          <t>10</t>
        </is>
      </c>
      <c r="G40" t="inlineStr">
        <is>
          <t>口八</t>
        </is>
      </c>
      <c r="H40" t="inlineStr">
        <is>
          <t>1ノウチ(1~8.11)ノウチ</t>
        </is>
      </c>
      <c r="I40" t="n">
        <v>7.78</v>
      </c>
      <c r="J40" t="inlineStr">
        <is>
          <t>スギ/ヒノキ</t>
        </is>
      </c>
      <c r="K40" t="n">
        <v>31</v>
      </c>
      <c r="L40" t="n">
        <v>1610</v>
      </c>
      <c r="M40" t="inlineStr">
        <is>
          <t>Cut &amp; leave (伐捨)</t>
        </is>
      </c>
      <c r="N40" t="n">
        <v>548</v>
      </c>
      <c r="O40" t="n">
        <v>34</v>
      </c>
      <c r="P40" t="inlineStr"/>
      <c r="Q40" t="inlineStr">
        <is>
          <t>施業放置林整備事業</t>
        </is>
      </c>
      <c r="R40" s="13">
        <f>N40/L40*100</f>
        <v/>
      </c>
      <c r="S40" t="inlineStr">
        <is>
          <t>ok</t>
        </is>
      </c>
    </row>
    <row r="41">
      <c r="A41" t="inlineStr">
        <is>
          <t>R7 (FY2025)</t>
        </is>
      </c>
      <c r="B41" t="n">
        <v>402</v>
      </c>
      <c r="C41" t="inlineStr">
        <is>
          <t>森林所有者</t>
        </is>
      </c>
      <c r="D41" t="inlineStr">
        <is>
          <t>神末</t>
        </is>
      </c>
      <c r="E41" t="inlineStr">
        <is>
          <t>2933</t>
        </is>
      </c>
      <c r="F41" t="inlineStr">
        <is>
          <t>12</t>
        </is>
      </c>
      <c r="G41" t="inlineStr">
        <is>
          <t>イ</t>
        </is>
      </c>
      <c r="H41" t="inlineStr">
        <is>
          <t>(8.9)ノウチ</t>
        </is>
      </c>
      <c r="I41" t="n">
        <v>0.29</v>
      </c>
      <c r="J41" t="inlineStr">
        <is>
          <t>スギ/ヒノキ</t>
        </is>
      </c>
      <c r="K41" t="n">
        <v>62</v>
      </c>
      <c r="L41" t="n">
        <v>98</v>
      </c>
      <c r="M41" t="inlineStr">
        <is>
          <t>Cut &amp; leave (伐捨)</t>
        </is>
      </c>
      <c r="N41" t="n">
        <v>34</v>
      </c>
      <c r="O41" t="n">
        <v>34</v>
      </c>
      <c r="P41" t="inlineStr"/>
      <c r="Q41" t="inlineStr">
        <is>
          <t>施業放置林整備事業</t>
        </is>
      </c>
      <c r="R41" s="13">
        <f>N41/L41*100</f>
        <v/>
      </c>
      <c r="S41" t="inlineStr">
        <is>
          <t>ok</t>
        </is>
      </c>
    </row>
    <row r="42">
      <c r="A42" t="inlineStr">
        <is>
          <t>R7 (FY2025)</t>
        </is>
      </c>
      <c r="B42" t="n">
        <v>404</v>
      </c>
      <c r="C42" t="inlineStr">
        <is>
          <t>森林所有者</t>
        </is>
      </c>
      <c r="D42" t="inlineStr">
        <is>
          <t>神末</t>
        </is>
      </c>
      <c r="E42" t="inlineStr">
        <is>
          <t>2267.2258-1.-2 2264.2265.2179-162.-163.</t>
        </is>
      </c>
      <c r="F42" t="inlineStr">
        <is>
          <t>14</t>
        </is>
      </c>
      <c r="G42" t="inlineStr">
        <is>
          <t>ホ</t>
        </is>
      </c>
      <c r="H42" t="inlineStr">
        <is>
          <t>(8~12)ノウチ</t>
        </is>
      </c>
      <c r="I42" t="n">
        <v>4.98</v>
      </c>
      <c r="J42" t="inlineStr">
        <is>
          <t>スギ/ヒノキ</t>
        </is>
      </c>
      <c r="K42" t="n">
        <v>76</v>
      </c>
      <c r="L42" t="n">
        <v>1683</v>
      </c>
      <c r="M42" t="inlineStr">
        <is>
          <t>Cut &amp; leave (伐捨)</t>
        </is>
      </c>
      <c r="N42" t="n">
        <v>573</v>
      </c>
      <c r="O42" t="n">
        <v>34</v>
      </c>
      <c r="P42" t="inlineStr"/>
      <c r="Q42" t="inlineStr">
        <is>
          <t>施業放置林整備事業</t>
        </is>
      </c>
      <c r="R42" s="13">
        <f>N42/L42*100</f>
        <v/>
      </c>
      <c r="S42" t="inlineStr">
        <is>
          <t>ok</t>
        </is>
      </c>
    </row>
    <row r="43">
      <c r="A43" t="inlineStr">
        <is>
          <t>R7 (FY2025)</t>
        </is>
      </c>
      <c r="B43" t="n">
        <v>405</v>
      </c>
      <c r="C43" t="inlineStr">
        <is>
          <t>森林所有者</t>
        </is>
      </c>
      <c r="D43" t="inlineStr">
        <is>
          <t>神末</t>
        </is>
      </c>
      <c r="E43" t="inlineStr">
        <is>
          <t>2179-104.-252</t>
        </is>
      </c>
      <c r="F43" t="inlineStr">
        <is>
          <t>16</t>
        </is>
      </c>
      <c r="G43" t="inlineStr">
        <is>
          <t>八</t>
        </is>
      </c>
      <c r="H43" t="inlineStr">
        <is>
          <t>(6~9)ノウチ</t>
        </is>
      </c>
      <c r="I43" t="n">
        <v>4.95</v>
      </c>
      <c r="J43" t="inlineStr">
        <is>
          <t>スギ/ヒノキ</t>
        </is>
      </c>
      <c r="K43" t="n">
        <v>58</v>
      </c>
      <c r="L43" t="n">
        <v>1584</v>
      </c>
      <c r="M43" t="inlineStr">
        <is>
          <t>Cut &amp; leave (伐捨)</t>
        </is>
      </c>
      <c r="N43" t="n">
        <v>539</v>
      </c>
      <c r="O43" t="n">
        <v>34</v>
      </c>
      <c r="P43" t="inlineStr"/>
      <c r="Q43" t="inlineStr">
        <is>
          <t>施業放置林整備事業</t>
        </is>
      </c>
      <c r="R43" s="13">
        <f>N43/L43*100</f>
        <v/>
      </c>
      <c r="S43" t="inlineStr">
        <is>
          <t>ok</t>
        </is>
      </c>
    </row>
    <row r="44">
      <c r="A44" t="inlineStr">
        <is>
          <t>R7 (FY2025)</t>
        </is>
      </c>
      <c r="B44" t="n">
        <v>406</v>
      </c>
      <c r="C44" t="inlineStr">
        <is>
          <t>森林所有者</t>
        </is>
      </c>
      <c r="D44" t="inlineStr">
        <is>
          <t>菅野</t>
        </is>
      </c>
      <c r="E44" t="inlineStr">
        <is>
          <t>2960-118.-119</t>
        </is>
      </c>
      <c r="F44" t="inlineStr">
        <is>
          <t>34</t>
        </is>
      </c>
      <c r="G44" t="inlineStr">
        <is>
          <t>口</t>
        </is>
      </c>
      <c r="H44" t="inlineStr">
        <is>
          <t>(9.10.14)ノウチ</t>
        </is>
      </c>
      <c r="I44" t="n">
        <v>0.55</v>
      </c>
      <c r="J44" t="inlineStr">
        <is>
          <t>スギ/ヒノキ</t>
        </is>
      </c>
      <c r="K44" t="n">
        <v>50</v>
      </c>
      <c r="L44" t="n">
        <v>141</v>
      </c>
      <c r="M44" t="inlineStr">
        <is>
          <t>Cut &amp; leave (伐捨)</t>
        </is>
      </c>
      <c r="N44" t="n">
        <v>49</v>
      </c>
      <c r="O44" t="n">
        <v>34</v>
      </c>
      <c r="P44" t="inlineStr"/>
      <c r="Q44" t="inlineStr">
        <is>
          <t>施業放置林整備事業</t>
        </is>
      </c>
      <c r="R44" s="13">
        <f>N44/L44*100</f>
        <v/>
      </c>
      <c r="S44" t="inlineStr">
        <is>
          <t>ok</t>
        </is>
      </c>
    </row>
    <row r="45">
      <c r="A45" t="inlineStr">
        <is>
          <t>R7 (FY2025)</t>
        </is>
      </c>
      <c r="B45" t="n">
        <v>407</v>
      </c>
      <c r="C45" t="inlineStr">
        <is>
          <t>森林所有者</t>
        </is>
      </c>
      <c r="D45" t="inlineStr">
        <is>
          <t>菅野</t>
        </is>
      </c>
      <c r="E45" t="inlineStr">
        <is>
          <t>2960-105.-106</t>
        </is>
      </c>
      <c r="F45" t="inlineStr">
        <is>
          <t>35</t>
        </is>
      </c>
      <c r="G45" t="inlineStr">
        <is>
          <t>八</t>
        </is>
      </c>
      <c r="H45" t="inlineStr">
        <is>
          <t>(14.16~20.23)ノウチ</t>
        </is>
      </c>
      <c r="I45" t="n">
        <v>3.97</v>
      </c>
      <c r="J45" t="inlineStr">
        <is>
          <t>スギ/ヒノキ</t>
        </is>
      </c>
      <c r="K45" t="n">
        <v>63</v>
      </c>
      <c r="L45" t="n">
        <v>1342</v>
      </c>
      <c r="M45" t="inlineStr">
        <is>
          <t>Cut &amp; leave (伐捨)</t>
        </is>
      </c>
      <c r="N45" t="n">
        <v>457</v>
      </c>
      <c r="O45" t="n">
        <v>34</v>
      </c>
      <c r="P45" t="inlineStr"/>
      <c r="Q45" t="inlineStr">
        <is>
          <t>施業放置林整備事業</t>
        </is>
      </c>
      <c r="R45" s="13">
        <f>N45/L45*100</f>
        <v/>
      </c>
      <c r="S45" t="inlineStr">
        <is>
          <t>ok</t>
        </is>
      </c>
    </row>
    <row r="46">
      <c r="A46" t="inlineStr">
        <is>
          <t>R7 (FY2025)</t>
        </is>
      </c>
      <c r="B46" t="n">
        <v>408</v>
      </c>
      <c r="C46" t="inlineStr">
        <is>
          <t>森林所有者</t>
        </is>
      </c>
      <c r="D46" t="inlineStr">
        <is>
          <t>菅野</t>
        </is>
      </c>
      <c r="E46" t="inlineStr">
        <is>
          <t>1068-100</t>
        </is>
      </c>
      <c r="F46" t="inlineStr">
        <is>
          <t>38</t>
        </is>
      </c>
      <c r="G46" t="inlineStr">
        <is>
          <t>二</t>
        </is>
      </c>
      <c r="H46" t="inlineStr">
        <is>
          <t>(14.16)ノウチ</t>
        </is>
      </c>
      <c r="I46" t="n">
        <v>0.14</v>
      </c>
      <c r="J46" t="inlineStr">
        <is>
          <t>スギ/ヒノキ</t>
        </is>
      </c>
      <c r="K46" t="n">
        <v>64</v>
      </c>
      <c r="L46" t="n">
        <v>47</v>
      </c>
      <c r="M46" t="inlineStr">
        <is>
          <t>Cut &amp; leave (伐捨)</t>
        </is>
      </c>
      <c r="N46" t="n">
        <v>17</v>
      </c>
      <c r="O46" t="n">
        <v>34</v>
      </c>
      <c r="P46" t="inlineStr"/>
      <c r="Q46" t="inlineStr">
        <is>
          <t>施業放置林整備事業</t>
        </is>
      </c>
      <c r="R46" s="13">
        <f>N46/L46*100</f>
        <v/>
      </c>
      <c r="S46" t="inlineStr">
        <is>
          <t>ok</t>
        </is>
      </c>
    </row>
    <row r="47">
      <c r="A47" t="inlineStr">
        <is>
          <t>R7 (FY2025)</t>
        </is>
      </c>
      <c r="B47" t="n">
        <v>409</v>
      </c>
      <c r="C47" t="inlineStr">
        <is>
          <t>森林所有者</t>
        </is>
      </c>
      <c r="D47" t="inlineStr">
        <is>
          <t>菅野</t>
        </is>
      </c>
      <c r="E47" t="inlineStr">
        <is>
          <t>1032-29</t>
        </is>
      </c>
      <c r="F47" t="inlineStr">
        <is>
          <t>44</t>
        </is>
      </c>
      <c r="G47" t="inlineStr"/>
      <c r="H47" t="inlineStr">
        <is>
          <t>(3.4.6)ノウチ1ノウチ</t>
        </is>
      </c>
      <c r="I47" t="n">
        <v>2.68</v>
      </c>
      <c r="J47" t="inlineStr">
        <is>
          <t>スギ/ヒノキ</t>
        </is>
      </c>
      <c r="K47" t="n">
        <v>59</v>
      </c>
      <c r="L47" t="n">
        <v>858</v>
      </c>
      <c r="M47" t="inlineStr">
        <is>
          <t>Cut &amp; leave (伐捨)</t>
        </is>
      </c>
      <c r="N47" t="n">
        <v>292</v>
      </c>
      <c r="O47" t="n">
        <v>34</v>
      </c>
      <c r="P47" t="inlineStr"/>
      <c r="Q47" t="inlineStr">
        <is>
          <t>施業放置林整備事業</t>
        </is>
      </c>
      <c r="R47" s="13">
        <f>N47/L47*100</f>
        <v/>
      </c>
      <c r="S47" t="inlineStr">
        <is>
          <t>ok</t>
        </is>
      </c>
    </row>
    <row r="48">
      <c r="A48" t="inlineStr">
        <is>
          <t>R7 (FY2025)</t>
        </is>
      </c>
      <c r="B48" t="n">
        <v>410</v>
      </c>
      <c r="C48" t="inlineStr">
        <is>
          <t>森林所有者</t>
        </is>
      </c>
      <c r="D48" t="inlineStr">
        <is>
          <t>菅野</t>
        </is>
      </c>
      <c r="E48" t="inlineStr">
        <is>
          <t>2960-26.-1474</t>
        </is>
      </c>
      <c r="F48" t="inlineStr">
        <is>
          <t>34</t>
        </is>
      </c>
      <c r="G48" t="inlineStr"/>
      <c r="H48" t="inlineStr">
        <is>
          <t>13ノウチ10ノウチ(1.2)ノウチ</t>
        </is>
      </c>
      <c r="I48" t="n">
        <v>2</v>
      </c>
      <c r="J48" t="inlineStr">
        <is>
          <t>スギ/ヒノキ</t>
        </is>
      </c>
      <c r="K48" t="n">
        <v>56</v>
      </c>
      <c r="L48" t="n">
        <v>640</v>
      </c>
      <c r="M48" t="inlineStr">
        <is>
          <t>Cut &amp; leave (伐捨)</t>
        </is>
      </c>
      <c r="N48" t="n">
        <v>218</v>
      </c>
      <c r="O48" t="n">
        <v>34</v>
      </c>
      <c r="P48" t="inlineStr"/>
      <c r="Q48" t="inlineStr">
        <is>
          <t>施業放置林整備事業</t>
        </is>
      </c>
      <c r="R48" s="13">
        <f>N48/L48*100</f>
        <v/>
      </c>
      <c r="S48" t="inlineStr">
        <is>
          <t>ok</t>
        </is>
      </c>
    </row>
    <row r="49">
      <c r="A49" t="inlineStr">
        <is>
          <t>R7 (FY2025)</t>
        </is>
      </c>
      <c r="B49" t="n">
        <v>411</v>
      </c>
      <c r="C49" t="inlineStr">
        <is>
          <t>森林所有者</t>
        </is>
      </c>
      <c r="D49" t="inlineStr">
        <is>
          <t>土屋原</t>
        </is>
      </c>
      <c r="E49" t="inlineStr">
        <is>
          <t>2436-71</t>
        </is>
      </c>
      <c r="F49" t="inlineStr">
        <is>
          <t>51</t>
        </is>
      </c>
      <c r="G49" t="inlineStr">
        <is>
          <t>口</t>
        </is>
      </c>
      <c r="H49" t="inlineStr">
        <is>
          <t>(35.36.37)ノウチ</t>
        </is>
      </c>
      <c r="I49" t="n">
        <v>1.11</v>
      </c>
      <c r="J49" t="inlineStr">
        <is>
          <t>スギ/ヒノキ</t>
        </is>
      </c>
      <c r="K49" t="n">
        <v>70</v>
      </c>
      <c r="L49" t="n">
        <v>375</v>
      </c>
      <c r="M49" t="inlineStr">
        <is>
          <t>Cut &amp; leave (伐捨)</t>
        </is>
      </c>
      <c r="N49" t="n">
        <v>128</v>
      </c>
      <c r="O49" t="n">
        <v>34</v>
      </c>
      <c r="P49" t="inlineStr"/>
      <c r="Q49" t="inlineStr">
        <is>
          <t>施業放置林整備事業</t>
        </is>
      </c>
      <c r="R49" s="13">
        <f>N49/L49*100</f>
        <v/>
      </c>
      <c r="S49" t="inlineStr">
        <is>
          <t>ok</t>
        </is>
      </c>
    </row>
    <row r="50">
      <c r="A50" t="inlineStr">
        <is>
          <t>R7 (FY2025)</t>
        </is>
      </c>
      <c r="B50" t="n">
        <v>412</v>
      </c>
      <c r="C50" t="inlineStr">
        <is>
          <t>森林所有者</t>
        </is>
      </c>
      <c r="D50" t="inlineStr">
        <is>
          <t>神末</t>
        </is>
      </c>
      <c r="E50" t="inlineStr">
        <is>
          <t>3059-334.-335</t>
        </is>
      </c>
      <c r="F50" t="inlineStr"/>
      <c r="G50" t="inlineStr">
        <is>
          <t>ホ二イ</t>
        </is>
      </c>
      <c r="H50" t="inlineStr">
        <is>
          <t>1ノウチ(1.5.7)ノウチ9ノウチ</t>
        </is>
      </c>
      <c r="I50" t="n">
        <v>5.27</v>
      </c>
      <c r="J50" t="inlineStr">
        <is>
          <t>スギ/ヒノキ</t>
        </is>
      </c>
      <c r="K50" t="n">
        <v>87</v>
      </c>
      <c r="L50" t="n">
        <v>1781</v>
      </c>
      <c r="M50" t="inlineStr">
        <is>
          <t>Cut &amp; leave (伐捨)</t>
        </is>
      </c>
      <c r="N50" t="n">
        <v>606</v>
      </c>
      <c r="O50" t="n">
        <v>34</v>
      </c>
      <c r="P50" t="inlineStr"/>
      <c r="Q50" t="inlineStr">
        <is>
          <t>施業放置林整備事業</t>
        </is>
      </c>
      <c r="R50" s="13">
        <f>N50/L50*100</f>
        <v/>
      </c>
      <c r="S50" t="inlineStr">
        <is>
          <t>ok</t>
        </is>
      </c>
    </row>
    <row r="51">
      <c r="A51" t="inlineStr">
        <is>
          <t>R7 (FY2025)</t>
        </is>
      </c>
      <c r="B51" t="n">
        <v>413</v>
      </c>
      <c r="C51" t="inlineStr">
        <is>
          <t>森林所有者</t>
        </is>
      </c>
      <c r="D51" t="inlineStr">
        <is>
          <t>土屋原</t>
        </is>
      </c>
      <c r="E51" t="inlineStr">
        <is>
          <t>3282-116</t>
        </is>
      </c>
      <c r="F51" t="inlineStr">
        <is>
          <t>66</t>
        </is>
      </c>
      <c r="G51" t="inlineStr">
        <is>
          <t>卜</t>
        </is>
      </c>
      <c r="H51" t="inlineStr">
        <is>
          <t>(5.6.7.8.10.14)ノウチ</t>
        </is>
      </c>
      <c r="I51" t="n">
        <v>0.98</v>
      </c>
      <c r="J51" t="inlineStr">
        <is>
          <t>スギ/ヒノキ</t>
        </is>
      </c>
      <c r="K51" t="n">
        <v>56</v>
      </c>
      <c r="L51" t="n">
        <v>314</v>
      </c>
      <c r="M51" t="inlineStr">
        <is>
          <t>Cut &amp; leave (伐捨)</t>
        </is>
      </c>
      <c r="N51" t="n">
        <v>107</v>
      </c>
      <c r="O51" t="n">
        <v>34</v>
      </c>
      <c r="P51" t="inlineStr"/>
      <c r="Q51" t="inlineStr">
        <is>
          <t>施業放置林整備事業</t>
        </is>
      </c>
      <c r="R51" s="13">
        <f>N51/L51*100</f>
        <v/>
      </c>
      <c r="S51" t="inlineStr">
        <is>
          <t>ok</t>
        </is>
      </c>
    </row>
    <row r="52">
      <c r="A52" t="inlineStr">
        <is>
          <t>R7 (FY2025)</t>
        </is>
      </c>
      <c r="B52" t="n">
        <v>414</v>
      </c>
      <c r="C52" t="inlineStr">
        <is>
          <t>森林所有者</t>
        </is>
      </c>
      <c r="D52" t="inlineStr">
        <is>
          <t>土屋原</t>
        </is>
      </c>
      <c r="E52" t="inlineStr">
        <is>
          <t>951.952.953</t>
        </is>
      </c>
      <c r="F52" t="inlineStr">
        <is>
          <t>68</t>
        </is>
      </c>
      <c r="G52" t="inlineStr">
        <is>
          <t>ホ</t>
        </is>
      </c>
      <c r="H52" t="inlineStr">
        <is>
          <t>(5.7.8.9)ノウチ</t>
        </is>
      </c>
      <c r="I52" t="n">
        <v>1.22</v>
      </c>
      <c r="J52" t="inlineStr">
        <is>
          <t>スギ/ヒノキ</t>
        </is>
      </c>
      <c r="K52" t="n">
        <v>61</v>
      </c>
      <c r="L52" t="n">
        <v>412</v>
      </c>
      <c r="M52" t="inlineStr">
        <is>
          <t>Cut &amp; leave (伐捨)</t>
        </is>
      </c>
      <c r="N52" t="n">
        <v>141</v>
      </c>
      <c r="O52" t="n">
        <v>34</v>
      </c>
      <c r="P52" t="inlineStr"/>
      <c r="Q52" t="inlineStr">
        <is>
          <t>施業放置林整備事業</t>
        </is>
      </c>
      <c r="R52" s="13">
        <f>N52/L52*100</f>
        <v/>
      </c>
      <c r="S52" t="inlineStr">
        <is>
          <t>ok</t>
        </is>
      </c>
    </row>
    <row r="53">
      <c r="A53" t="inlineStr">
        <is>
          <t>R7 (FY2025)</t>
        </is>
      </c>
      <c r="B53" t="n">
        <v>418</v>
      </c>
      <c r="C53" t="inlineStr">
        <is>
          <t>森林所有者</t>
        </is>
      </c>
      <c r="D53" t="inlineStr">
        <is>
          <t>桃俣</t>
        </is>
      </c>
      <c r="E53" t="inlineStr">
        <is>
          <t>1773-92</t>
        </is>
      </c>
      <c r="F53" t="inlineStr">
        <is>
          <t>75</t>
        </is>
      </c>
      <c r="G53" t="inlineStr">
        <is>
          <t>イ</t>
        </is>
      </c>
      <c r="H53" t="inlineStr">
        <is>
          <t>(20.21.22)ノウチ</t>
        </is>
      </c>
      <c r="I53" t="n">
        <v>0.43</v>
      </c>
      <c r="J53" t="inlineStr">
        <is>
          <t>スギ/ヒノキ</t>
        </is>
      </c>
      <c r="K53" t="n">
        <v>54</v>
      </c>
      <c r="L53" t="n">
        <v>111</v>
      </c>
      <c r="M53" t="inlineStr">
        <is>
          <t>Cut &amp; leave (伐捨)</t>
        </is>
      </c>
      <c r="N53" t="n">
        <v>38</v>
      </c>
      <c r="O53" t="n">
        <v>34</v>
      </c>
      <c r="P53" t="inlineStr"/>
      <c r="Q53" t="inlineStr">
        <is>
          <t>施業放置林整備事業</t>
        </is>
      </c>
      <c r="R53" s="13">
        <f>N53/L53*100</f>
        <v/>
      </c>
      <c r="S53" t="inlineStr">
        <is>
          <t>ok</t>
        </is>
      </c>
    </row>
    <row r="54">
      <c r="A54" t="inlineStr">
        <is>
          <t>R7 (FY2025)</t>
        </is>
      </c>
      <c r="B54" t="n">
        <v>420</v>
      </c>
      <c r="C54" t="inlineStr">
        <is>
          <t>森林所有者</t>
        </is>
      </c>
      <c r="D54" t="inlineStr">
        <is>
          <t>桃俣</t>
        </is>
      </c>
      <c r="E54" t="inlineStr">
        <is>
          <t>1773-158.-159.-160</t>
        </is>
      </c>
      <c r="F54" t="inlineStr">
        <is>
          <t>73</t>
        </is>
      </c>
      <c r="G54" t="inlineStr">
        <is>
          <t>八二</t>
        </is>
      </c>
      <c r="H54" t="inlineStr">
        <is>
          <t>(7.8.9.14)ノウチ(2.9)ノウチ</t>
        </is>
      </c>
      <c r="I54" t="n">
        <v>2.12</v>
      </c>
      <c r="J54" t="inlineStr">
        <is>
          <t>スギ/ヒノキ</t>
        </is>
      </c>
      <c r="K54" t="n">
        <v>58</v>
      </c>
      <c r="L54" t="n">
        <v>678</v>
      </c>
      <c r="M54" t="inlineStr">
        <is>
          <t>Cut &amp; leave (伐捨)</t>
        </is>
      </c>
      <c r="N54" t="n">
        <v>231</v>
      </c>
      <c r="O54" t="n">
        <v>34</v>
      </c>
      <c r="P54" t="inlineStr"/>
      <c r="Q54" t="inlineStr">
        <is>
          <t>施業放置林整備事業</t>
        </is>
      </c>
      <c r="R54" s="13">
        <f>N54/L54*100</f>
        <v/>
      </c>
      <c r="S54" t="inlineStr">
        <is>
          <t>ok</t>
        </is>
      </c>
    </row>
    <row r="55">
      <c r="A55" t="inlineStr">
        <is>
          <t>R7 (FY2025)</t>
        </is>
      </c>
      <c r="B55" t="n">
        <v>421</v>
      </c>
      <c r="C55" t="inlineStr">
        <is>
          <t>森林所有者</t>
        </is>
      </c>
      <c r="D55" t="inlineStr">
        <is>
          <t>桃俣</t>
        </is>
      </c>
      <c r="E55" t="inlineStr">
        <is>
          <t>1773-137</t>
        </is>
      </c>
      <c r="F55" t="inlineStr">
        <is>
          <t>77 44</t>
        </is>
      </c>
      <c r="G55" t="inlineStr">
        <is>
          <t>&lt;</t>
        </is>
      </c>
      <c r="H55" t="inlineStr">
        <is>
          <t>(32.34.35.43)ノウチ3ノウチ</t>
        </is>
      </c>
      <c r="I55" t="n">
        <v>0.48</v>
      </c>
      <c r="J55" t="inlineStr">
        <is>
          <t>スギ/ヒノキ</t>
        </is>
      </c>
      <c r="K55" t="n">
        <v>60</v>
      </c>
      <c r="L55" t="n">
        <v>154</v>
      </c>
      <c r="M55" t="inlineStr">
        <is>
          <t>Cut &amp; leave (伐捨)</t>
        </is>
      </c>
      <c r="N55" t="n">
        <v>53</v>
      </c>
      <c r="O55" t="n">
        <v>34</v>
      </c>
      <c r="P55" t="inlineStr"/>
      <c r="Q55" t="inlineStr">
        <is>
          <t>施業放置林整備事業</t>
        </is>
      </c>
      <c r="R55" s="13">
        <f>N55/L55*100</f>
        <v/>
      </c>
      <c r="S55" t="inlineStr">
        <is>
          <t>ok</t>
        </is>
      </c>
    </row>
    <row r="56">
      <c r="A56" t="inlineStr">
        <is>
          <t>R7 (FY2025)</t>
        </is>
      </c>
      <c r="B56" t="n">
        <v>422</v>
      </c>
      <c r="C56" t="inlineStr">
        <is>
          <t>森林所有者</t>
        </is>
      </c>
      <c r="D56" t="inlineStr">
        <is>
          <t>桃俣</t>
        </is>
      </c>
      <c r="E56" t="inlineStr">
        <is>
          <t>1773-78.-82</t>
        </is>
      </c>
      <c r="F56" t="inlineStr">
        <is>
          <t>75</t>
        </is>
      </c>
      <c r="G56" t="inlineStr">
        <is>
          <t>口八</t>
        </is>
      </c>
      <c r="H56" t="inlineStr">
        <is>
          <t>(11.12.16.17)/ウチ(2.8.9.14.16)/ウ</t>
        </is>
      </c>
      <c r="I56" t="n">
        <v>1.19</v>
      </c>
      <c r="J56" t="inlineStr">
        <is>
          <t>スギ/ヒノキ</t>
        </is>
      </c>
      <c r="K56" t="n">
        <v>61</v>
      </c>
      <c r="L56" t="n">
        <v>402</v>
      </c>
      <c r="M56" t="inlineStr">
        <is>
          <t>Cut &amp; leave (伐捨)</t>
        </is>
      </c>
      <c r="N56" t="n">
        <v>137</v>
      </c>
      <c r="O56" t="n">
        <v>34</v>
      </c>
      <c r="P56" t="inlineStr"/>
      <c r="Q56" t="inlineStr">
        <is>
          <t>施業放置林整備事業</t>
        </is>
      </c>
      <c r="R56" s="13">
        <f>N56/L56*100</f>
        <v/>
      </c>
      <c r="S56" t="inlineStr">
        <is>
          <t>ok</t>
        </is>
      </c>
    </row>
    <row r="57">
      <c r="A57" t="inlineStr">
        <is>
          <t>R7 (FY2025)</t>
        </is>
      </c>
      <c r="B57" t="n">
        <v>423</v>
      </c>
      <c r="C57" t="inlineStr">
        <is>
          <t>森林所有者</t>
        </is>
      </c>
      <c r="D57" t="inlineStr">
        <is>
          <t>桃俣</t>
        </is>
      </c>
      <c r="E57" t="inlineStr">
        <is>
          <t>1772-86</t>
        </is>
      </c>
      <c r="F57" t="inlineStr">
        <is>
          <t>81</t>
        </is>
      </c>
      <c r="G57" t="inlineStr">
        <is>
          <t>イ</t>
        </is>
      </c>
      <c r="H57" t="inlineStr">
        <is>
          <t>(18.19.20~23)ノウチ</t>
        </is>
      </c>
      <c r="I57" t="n">
        <v>0.71</v>
      </c>
      <c r="J57" t="inlineStr">
        <is>
          <t>スギ/ヒノキ</t>
        </is>
      </c>
      <c r="K57" t="n">
        <v>55</v>
      </c>
      <c r="L57" t="n">
        <v>182</v>
      </c>
      <c r="M57" t="inlineStr">
        <is>
          <t>Cut &amp; leave (伐捨)</t>
        </is>
      </c>
      <c r="N57" t="n">
        <v>63</v>
      </c>
      <c r="O57" t="n">
        <v>34</v>
      </c>
      <c r="P57" t="inlineStr"/>
      <c r="Q57" t="inlineStr">
        <is>
          <t>施業放置林整備事業</t>
        </is>
      </c>
      <c r="R57" s="13">
        <f>N57/L57*100</f>
        <v/>
      </c>
      <c r="S57" t="inlineStr">
        <is>
          <t>ok</t>
        </is>
      </c>
    </row>
    <row r="58">
      <c r="A58" t="inlineStr">
        <is>
          <t>R7 (FY2025)</t>
        </is>
      </c>
      <c r="B58" t="n">
        <v>424</v>
      </c>
      <c r="C58" t="inlineStr">
        <is>
          <t>森林所有者</t>
        </is>
      </c>
      <c r="D58" t="inlineStr">
        <is>
          <t>桃俣</t>
        </is>
      </c>
      <c r="E58" t="inlineStr">
        <is>
          <t>1359</t>
        </is>
      </c>
      <c r="F58" t="inlineStr">
        <is>
          <t>22</t>
        </is>
      </c>
      <c r="G58" t="inlineStr">
        <is>
          <t>口 1</t>
        </is>
      </c>
      <c r="H58" t="inlineStr">
        <is>
          <t>(8.9)/ウチ(16.17.23.24)/ウチ(11.12.13)/ウチ</t>
        </is>
      </c>
      <c r="I58" t="n">
        <v>2.69</v>
      </c>
      <c r="J58" t="inlineStr">
        <is>
          <t>スギ/ヒノキ</t>
        </is>
      </c>
      <c r="K58" t="n">
        <v>42</v>
      </c>
      <c r="L58" t="n">
        <v>691</v>
      </c>
      <c r="M58" t="inlineStr">
        <is>
          <t>Cut &amp; leave (伐捨)</t>
        </is>
      </c>
      <c r="N58" t="n">
        <v>236</v>
      </c>
      <c r="O58" t="n">
        <v>34</v>
      </c>
      <c r="P58" t="inlineStr"/>
      <c r="Q58" t="inlineStr">
        <is>
          <t>施業放置林整備事業</t>
        </is>
      </c>
      <c r="R58" s="13">
        <f>N58/L58*100</f>
        <v/>
      </c>
      <c r="S58" t="inlineStr">
        <is>
          <t>ok</t>
        </is>
      </c>
    </row>
    <row r="59">
      <c r="A59" t="inlineStr">
        <is>
          <t>R7 (FY2025)</t>
        </is>
      </c>
      <c r="B59" t="n">
        <v>425</v>
      </c>
      <c r="C59" t="inlineStr">
        <is>
          <t>森林所有者</t>
        </is>
      </c>
      <c r="D59" t="inlineStr">
        <is>
          <t>桃俣</t>
        </is>
      </c>
      <c r="E59" t="inlineStr">
        <is>
          <t>1340.1341</t>
        </is>
      </c>
      <c r="F59" t="inlineStr">
        <is>
          <t>83</t>
        </is>
      </c>
      <c r="G59" t="inlineStr">
        <is>
          <t>二</t>
        </is>
      </c>
      <c r="H59" t="inlineStr">
        <is>
          <t>(2.8)/ウチ(6.7)/ウチ(18.19~22)ノウチ</t>
        </is>
      </c>
      <c r="I59" t="n">
        <v>1.05</v>
      </c>
      <c r="J59" t="inlineStr">
        <is>
          <t>スギ/ヒノキ</t>
        </is>
      </c>
      <c r="K59" t="n">
        <v>42</v>
      </c>
      <c r="L59" t="n">
        <v>270</v>
      </c>
      <c r="M59" t="inlineStr">
        <is>
          <t>Cut &amp; leave (伐捨)</t>
        </is>
      </c>
      <c r="N59" t="n">
        <v>92</v>
      </c>
      <c r="O59" t="n">
        <v>34</v>
      </c>
      <c r="P59" t="inlineStr"/>
      <c r="Q59" t="inlineStr">
        <is>
          <t>施業放置林整備事業</t>
        </is>
      </c>
      <c r="R59" s="13">
        <f>N59/L59*100</f>
        <v/>
      </c>
      <c r="S59" t="inlineStr">
        <is>
          <t>ok</t>
        </is>
      </c>
    </row>
    <row r="60">
      <c r="A60" t="inlineStr">
        <is>
          <t>R7 (FY2025)</t>
        </is>
      </c>
      <c r="B60" t="n">
        <v>430</v>
      </c>
      <c r="C60" t="inlineStr">
        <is>
          <t>森林所有者</t>
        </is>
      </c>
      <c r="D60" t="inlineStr">
        <is>
          <t>土屋原</t>
        </is>
      </c>
      <c r="E60" t="inlineStr">
        <is>
          <t>435-88</t>
        </is>
      </c>
      <c r="F60" t="inlineStr">
        <is>
          <t>91 90</t>
        </is>
      </c>
      <c r="G60" t="inlineStr">
        <is>
          <t>口</t>
        </is>
      </c>
      <c r="H60" t="inlineStr">
        <is>
          <t>(1.4.5.6.12.40)/ウチ5ノウチ4ノウチ</t>
        </is>
      </c>
      <c r="I60" t="n">
        <v>0.33</v>
      </c>
      <c r="J60" t="inlineStr">
        <is>
          <t>スギ/ヒノキ</t>
        </is>
      </c>
      <c r="K60" t="n">
        <v>73</v>
      </c>
      <c r="L60" t="n">
        <v>112</v>
      </c>
      <c r="M60" t="inlineStr">
        <is>
          <t>Cut &amp; leave (伐捨)</t>
        </is>
      </c>
      <c r="N60" t="n">
        <v>38</v>
      </c>
      <c r="O60" t="n">
        <v>34</v>
      </c>
      <c r="P60" t="inlineStr"/>
      <c r="Q60" t="inlineStr">
        <is>
          <t>施業放置林整備事業</t>
        </is>
      </c>
      <c r="R60" s="13">
        <f>N60/L60*100</f>
        <v/>
      </c>
      <c r="S60" t="inlineStr">
        <is>
          <t>ok</t>
        </is>
      </c>
    </row>
    <row r="61">
      <c r="A61" t="inlineStr">
        <is>
          <t>R7 (FY2025)</t>
        </is>
      </c>
      <c r="B61" t="n">
        <v>431</v>
      </c>
      <c r="C61" t="inlineStr">
        <is>
          <t>森林所有者</t>
        </is>
      </c>
      <c r="D61" t="inlineStr">
        <is>
          <t>土屋原</t>
        </is>
      </c>
      <c r="E61" t="inlineStr">
        <is>
          <t>425</t>
        </is>
      </c>
      <c r="F61" t="inlineStr">
        <is>
          <t>91</t>
        </is>
      </c>
      <c r="G61" t="inlineStr">
        <is>
          <t>八口</t>
        </is>
      </c>
      <c r="H61" t="inlineStr">
        <is>
          <t>(13.20~26)/チ(1.2)ノチ</t>
        </is>
      </c>
      <c r="I61" t="n">
        <v>0.38</v>
      </c>
      <c r="J61" t="inlineStr">
        <is>
          <t>スギ/ヒノキ</t>
        </is>
      </c>
      <c r="K61" t="n">
        <v>73</v>
      </c>
      <c r="L61" t="n">
        <v>128</v>
      </c>
      <c r="M61" t="inlineStr">
        <is>
          <t>Cut &amp; leave (伐捨)</t>
        </is>
      </c>
      <c r="N61" t="n">
        <v>44</v>
      </c>
      <c r="O61" t="n">
        <v>34</v>
      </c>
      <c r="P61" t="inlineStr"/>
      <c r="Q61" t="inlineStr">
        <is>
          <t>施業放置林整備事業</t>
        </is>
      </c>
      <c r="R61" s="13">
        <f>N61/L61*100</f>
        <v/>
      </c>
      <c r="S61" t="inlineStr">
        <is>
          <t>ok</t>
        </is>
      </c>
    </row>
    <row r="62">
      <c r="A62" t="inlineStr">
        <is>
          <t>R7 (FY2025)</t>
        </is>
      </c>
      <c r="B62" t="n">
        <v>432</v>
      </c>
      <c r="C62" t="inlineStr">
        <is>
          <t>森林所有者</t>
        </is>
      </c>
      <c r="D62" t="inlineStr">
        <is>
          <t>菅野</t>
        </is>
      </c>
      <c r="E62" t="inlineStr">
        <is>
          <t>131-67.307</t>
        </is>
      </c>
      <c r="F62" t="inlineStr">
        <is>
          <t>94</t>
        </is>
      </c>
      <c r="G62" t="inlineStr">
        <is>
          <t>ホへ</t>
        </is>
      </c>
      <c r="H62" t="inlineStr">
        <is>
          <t>(28.32.33)ノウチ(3.4)ノウチ</t>
        </is>
      </c>
      <c r="I62" t="n">
        <v>0.21</v>
      </c>
      <c r="J62" t="inlineStr">
        <is>
          <t>スギ/ヒノキ</t>
        </is>
      </c>
      <c r="K62" t="n">
        <v>64</v>
      </c>
      <c r="L62" t="n">
        <v>71</v>
      </c>
      <c r="M62" t="inlineStr">
        <is>
          <t>Cut &amp; leave (伐捨)</t>
        </is>
      </c>
      <c r="N62" t="n">
        <v>25</v>
      </c>
      <c r="O62" t="n">
        <v>34</v>
      </c>
      <c r="P62" t="inlineStr"/>
      <c r="Q62" t="inlineStr">
        <is>
          <t>施業放置林整備事業</t>
        </is>
      </c>
      <c r="R62" s="13">
        <f>N62/L62*100</f>
        <v/>
      </c>
      <c r="S62" t="inlineStr">
        <is>
          <t>ok</t>
        </is>
      </c>
    </row>
    <row r="63">
      <c r="A63" t="inlineStr">
        <is>
          <t>R7 (FY2025)</t>
        </is>
      </c>
      <c r="B63" t="n">
        <v>434</v>
      </c>
      <c r="C63" t="inlineStr">
        <is>
          <t>森林所有者</t>
        </is>
      </c>
      <c r="D63" t="inlineStr">
        <is>
          <t>菅野</t>
        </is>
      </c>
      <c r="E63" t="inlineStr">
        <is>
          <t>1951.1953</t>
        </is>
      </c>
      <c r="F63" t="inlineStr">
        <is>
          <t>95</t>
        </is>
      </c>
      <c r="G63" t="inlineStr">
        <is>
          <t>&lt;卜</t>
        </is>
      </c>
      <c r="H63" t="inlineStr">
        <is>
          <t>(15.16.17.18)ノウチ(2.3)ノウチ</t>
        </is>
      </c>
      <c r="I63" t="n">
        <v>1.61</v>
      </c>
      <c r="J63" t="inlineStr">
        <is>
          <t>スギ/ヒノキ</t>
        </is>
      </c>
      <c r="K63" t="n">
        <v>69</v>
      </c>
      <c r="L63" t="n">
        <v>544</v>
      </c>
      <c r="M63" t="inlineStr">
        <is>
          <t>Cut &amp; leave (伐捨)</t>
        </is>
      </c>
      <c r="N63" t="n">
        <v>186</v>
      </c>
      <c r="O63" t="n">
        <v>34</v>
      </c>
      <c r="P63" t="inlineStr"/>
      <c r="Q63" t="inlineStr">
        <is>
          <t>施業放置林整備事業</t>
        </is>
      </c>
      <c r="R63" s="13">
        <f>N63/L63*100</f>
        <v/>
      </c>
      <c r="S63" t="inlineStr">
        <is>
          <t>ok</t>
        </is>
      </c>
    </row>
    <row r="64">
      <c r="A64" t="inlineStr">
        <is>
          <t>R7 (FY2025)</t>
        </is>
      </c>
      <c r="B64" t="n">
        <v>435</v>
      </c>
      <c r="C64" t="inlineStr">
        <is>
          <t>森林所有者</t>
        </is>
      </c>
      <c r="D64" t="inlineStr">
        <is>
          <t>菅野</t>
        </is>
      </c>
      <c r="E64" t="inlineStr">
        <is>
          <t>1970</t>
        </is>
      </c>
      <c r="F64" t="inlineStr">
        <is>
          <t>0c 95</t>
        </is>
      </c>
      <c r="G64" t="inlineStr">
        <is>
          <t>チ 品 1</t>
        </is>
      </c>
      <c r="H64" t="inlineStr">
        <is>
          <t>(1.20.21)/ウチ(1.2.3.5)/ウチ(2.9)/ウチ</t>
        </is>
      </c>
      <c r="I64" t="n">
        <v>2.61</v>
      </c>
      <c r="J64" t="inlineStr">
        <is>
          <t>スギ/ヒノキ</t>
        </is>
      </c>
      <c r="K64" t="n">
        <v>59</v>
      </c>
      <c r="L64" t="n">
        <v>835</v>
      </c>
      <c r="M64" t="inlineStr">
        <is>
          <t>Cut &amp; leave (伐捨)</t>
        </is>
      </c>
      <c r="N64" t="n">
        <v>284</v>
      </c>
      <c r="O64" t="n">
        <v>34</v>
      </c>
      <c r="P64" t="inlineStr"/>
      <c r="Q64" t="inlineStr">
        <is>
          <t>施業放置林整備事業</t>
        </is>
      </c>
      <c r="R64" s="13">
        <f>N64/L64*100</f>
        <v/>
      </c>
      <c r="S64" t="inlineStr">
        <is>
          <t>ok</t>
        </is>
      </c>
    </row>
    <row r="65">
      <c r="A65" t="inlineStr">
        <is>
          <t>R7 (FY2025)</t>
        </is>
      </c>
      <c r="B65" t="n">
        <v>436</v>
      </c>
      <c r="C65" t="inlineStr">
        <is>
          <t>森林所有者</t>
        </is>
      </c>
      <c r="D65" t="inlineStr">
        <is>
          <t>菅野</t>
        </is>
      </c>
      <c r="E65" t="inlineStr">
        <is>
          <t>1778-4.-7</t>
        </is>
      </c>
      <c r="F65" t="inlineStr">
        <is>
          <t>96</t>
        </is>
      </c>
      <c r="G65" t="inlineStr">
        <is>
          <t>口</t>
        </is>
      </c>
      <c r="H65" t="inlineStr">
        <is>
          <t>(19.20.21.22.23.24.27.28.29)/ウチ</t>
        </is>
      </c>
      <c r="I65" t="n">
        <v>0.89</v>
      </c>
      <c r="J65" t="inlineStr">
        <is>
          <t>スギ/ヒノキ</t>
        </is>
      </c>
      <c r="K65" t="n">
        <v>70</v>
      </c>
      <c r="L65" t="n">
        <v>301</v>
      </c>
      <c r="M65" t="inlineStr">
        <is>
          <t>Cut &amp; leave (伐捨)</t>
        </is>
      </c>
      <c r="N65" t="n">
        <v>103</v>
      </c>
      <c r="O65" t="n">
        <v>34</v>
      </c>
      <c r="P65" t="inlineStr"/>
      <c r="Q65" t="inlineStr">
        <is>
          <t>施業放置林整備事業</t>
        </is>
      </c>
      <c r="R65" s="13">
        <f>N65/L65*100</f>
        <v/>
      </c>
      <c r="S65" t="inlineStr">
        <is>
          <t>ok</t>
        </is>
      </c>
    </row>
    <row r="66">
      <c r="A66" t="inlineStr">
        <is>
          <t>R7 (FY2025)</t>
        </is>
      </c>
      <c r="B66" t="n">
        <v>437</v>
      </c>
      <c r="C66" t="inlineStr">
        <is>
          <t>森林所有者</t>
        </is>
      </c>
      <c r="D66" t="inlineStr">
        <is>
          <t>菅野</t>
        </is>
      </c>
      <c r="E66" t="inlineStr">
        <is>
          <t>3657-147</t>
        </is>
      </c>
      <c r="F66" t="inlineStr">
        <is>
          <t>99</t>
        </is>
      </c>
      <c r="G66" t="inlineStr">
        <is>
          <t>十二</t>
        </is>
      </c>
      <c r="H66" t="inlineStr">
        <is>
          <t>(19.20)ノウチ4ノウチ</t>
        </is>
      </c>
      <c r="I66" t="n">
        <v>0.27</v>
      </c>
      <c r="J66" t="inlineStr">
        <is>
          <t>スギ/ヒノキ</t>
        </is>
      </c>
      <c r="K66" t="n">
        <v>70</v>
      </c>
      <c r="L66" t="n">
        <v>91</v>
      </c>
      <c r="M66" t="inlineStr">
        <is>
          <t>Cut &amp; leave (伐捨)</t>
        </is>
      </c>
      <c r="N66" t="n">
        <v>32</v>
      </c>
      <c r="O66" t="n">
        <v>34</v>
      </c>
      <c r="P66" t="inlineStr"/>
      <c r="Q66" t="inlineStr">
        <is>
          <t>施業放置林整備事業</t>
        </is>
      </c>
      <c r="R66" s="13">
        <f>N66/L66*100</f>
        <v/>
      </c>
      <c r="S66" t="inlineStr">
        <is>
          <t>ok</t>
        </is>
      </c>
    </row>
    <row r="67">
      <c r="A67" t="inlineStr">
        <is>
          <t>R7 (FY2025)</t>
        </is>
      </c>
      <c r="B67" t="n">
        <v>438</v>
      </c>
      <c r="C67" t="inlineStr">
        <is>
          <t>森林所有者</t>
        </is>
      </c>
      <c r="D67" t="inlineStr">
        <is>
          <t>菅野</t>
        </is>
      </c>
      <c r="E67" t="inlineStr">
        <is>
          <t>3657-109</t>
        </is>
      </c>
      <c r="F67" t="inlineStr">
        <is>
          <t>100</t>
        </is>
      </c>
      <c r="G67" t="inlineStr">
        <is>
          <t>口</t>
        </is>
      </c>
      <c r="H67" t="inlineStr">
        <is>
          <t>(20~23.37.38)ノウチ</t>
        </is>
      </c>
      <c r="I67" t="n">
        <v>0.89</v>
      </c>
      <c r="J67" t="inlineStr">
        <is>
          <t>スギ/ヒノキ</t>
        </is>
      </c>
      <c r="K67" t="n">
        <v>59</v>
      </c>
      <c r="L67" t="n">
        <v>285</v>
      </c>
      <c r="M67" t="inlineStr">
        <is>
          <t>Cut &amp; leave (伐捨)</t>
        </is>
      </c>
      <c r="N67" t="n">
        <v>97</v>
      </c>
      <c r="O67" t="n">
        <v>34</v>
      </c>
      <c r="P67" t="inlineStr"/>
      <c r="Q67" t="inlineStr">
        <is>
          <t>施業放置林整備事業</t>
        </is>
      </c>
      <c r="R67" s="13">
        <f>N67/L67*100</f>
        <v/>
      </c>
      <c r="S67" t="inlineStr">
        <is>
          <t>ok</t>
        </is>
      </c>
    </row>
    <row r="68">
      <c r="A68" t="inlineStr">
        <is>
          <t>R7 (FY2025)</t>
        </is>
      </c>
      <c r="B68" t="n">
        <v>439</v>
      </c>
      <c r="C68" t="inlineStr">
        <is>
          <t>森林所有者</t>
        </is>
      </c>
      <c r="D68" t="inlineStr">
        <is>
          <t>神末</t>
        </is>
      </c>
      <c r="E68" t="inlineStr">
        <is>
          <t>112-55</t>
        </is>
      </c>
      <c r="F68" t="inlineStr">
        <is>
          <t>104</t>
        </is>
      </c>
      <c r="G68" t="inlineStr">
        <is>
          <t>ホへ</t>
        </is>
      </c>
      <c r="H68" t="inlineStr">
        <is>
          <t>(14.16.17)ノウチ17ノウチ</t>
        </is>
      </c>
      <c r="I68" t="n">
        <v>0.54</v>
      </c>
      <c r="J68" t="inlineStr">
        <is>
          <t>スギ/ヒノキ</t>
        </is>
      </c>
      <c r="K68" t="n">
        <v>61</v>
      </c>
      <c r="L68" t="n">
        <v>183</v>
      </c>
      <c r="M68" t="inlineStr">
        <is>
          <t>Cut &amp; leave (伐捨)</t>
        </is>
      </c>
      <c r="N68" t="n">
        <v>63</v>
      </c>
      <c r="O68" t="n">
        <v>34</v>
      </c>
      <c r="P68" t="inlineStr"/>
      <c r="Q68" t="inlineStr">
        <is>
          <t>施業放置林整備事業</t>
        </is>
      </c>
      <c r="R68" s="13">
        <f>N68/L68*100</f>
        <v/>
      </c>
      <c r="S68" t="inlineStr">
        <is>
          <t>ok</t>
        </is>
      </c>
    </row>
    <row r="69">
      <c r="A69" t="inlineStr">
        <is>
          <t>R8 (FY2026)</t>
        </is>
      </c>
      <c r="B69" t="n">
        <v>357</v>
      </c>
      <c r="C69" t="inlineStr">
        <is>
          <t>森林所有者</t>
        </is>
      </c>
      <c r="D69" t="inlineStr">
        <is>
          <t>桃俣</t>
        </is>
      </c>
      <c r="E69" t="inlineStr">
        <is>
          <t>1772.1772-152</t>
        </is>
      </c>
      <c r="F69" t="inlineStr">
        <is>
          <t>80</t>
        </is>
      </c>
      <c r="G69" t="inlineStr">
        <is>
          <t>二</t>
        </is>
      </c>
      <c r="H69" t="inlineStr">
        <is>
          <t>1~3</t>
        </is>
      </c>
      <c r="I69" t="n">
        <v>1.43</v>
      </c>
      <c r="J69" t="inlineStr">
        <is>
          <t>スギ/ヒノキ</t>
        </is>
      </c>
      <c r="K69" t="n">
        <v>52</v>
      </c>
      <c r="L69" t="n">
        <v>368</v>
      </c>
      <c r="M69" t="inlineStr">
        <is>
          <t>Extracted (搬出)</t>
        </is>
      </c>
      <c r="N69" t="n">
        <v>74</v>
      </c>
      <c r="O69" t="n">
        <v>20</v>
      </c>
      <c r="P69" t="inlineStr"/>
      <c r="Q69" t="inlineStr">
        <is>
          <t>森林資源適正推進事業</t>
        </is>
      </c>
      <c r="R69" s="13">
        <f>N69/L69*100</f>
        <v/>
      </c>
      <c r="S69" t="inlineStr">
        <is>
          <t>ok</t>
        </is>
      </c>
    </row>
    <row r="70">
      <c r="A70" t="inlineStr">
        <is>
          <t>R8 (FY2026)</t>
        </is>
      </c>
      <c r="B70" t="n">
        <v>358</v>
      </c>
      <c r="C70" t="inlineStr">
        <is>
          <t>森林所有者</t>
        </is>
      </c>
      <c r="D70" t="inlineStr">
        <is>
          <t>菅野</t>
        </is>
      </c>
      <c r="E70" t="inlineStr">
        <is>
          <t>2007.2009</t>
        </is>
      </c>
      <c r="F70" t="inlineStr">
        <is>
          <t>95</t>
        </is>
      </c>
      <c r="G70" t="inlineStr">
        <is>
          <t>千リ</t>
        </is>
      </c>
      <c r="H70" t="inlineStr">
        <is>
          <t>(20~25) ノウチ(5.7)ノウチ</t>
        </is>
      </c>
      <c r="I70" t="n">
        <v>0.65</v>
      </c>
      <c r="J70" t="inlineStr">
        <is>
          <t>スギ/ヒノキ</t>
        </is>
      </c>
      <c r="K70" t="n">
        <v>60</v>
      </c>
      <c r="L70" t="n">
        <v>208</v>
      </c>
      <c r="M70" t="inlineStr">
        <is>
          <t>Extracted (搬出)</t>
        </is>
      </c>
      <c r="N70" t="n">
        <v>42</v>
      </c>
      <c r="O70" t="n">
        <v>20</v>
      </c>
      <c r="P70" t="inlineStr"/>
      <c r="Q70" t="inlineStr">
        <is>
          <t>森林資源適正推進事業</t>
        </is>
      </c>
      <c r="R70" s="13">
        <f>N70/L70*100</f>
        <v/>
      </c>
      <c r="S70" t="inlineStr">
        <is>
          <t>ok</t>
        </is>
      </c>
    </row>
    <row r="71">
      <c r="A71" t="inlineStr">
        <is>
          <t>R8 (FY2026)</t>
        </is>
      </c>
      <c r="B71" t="n">
        <v>451</v>
      </c>
      <c r="C71" t="inlineStr">
        <is>
          <t>森林所有者</t>
        </is>
      </c>
      <c r="D71" t="inlineStr">
        <is>
          <t>神末</t>
        </is>
      </c>
      <c r="E71" t="inlineStr">
        <is>
          <t>2480</t>
        </is>
      </c>
      <c r="F71" t="inlineStr">
        <is>
          <t>12</t>
        </is>
      </c>
      <c r="G71" t="inlineStr">
        <is>
          <t>又</t>
        </is>
      </c>
      <c r="H71" t="inlineStr">
        <is>
          <t>19.20ノウチ</t>
        </is>
      </c>
      <c r="I71" t="n">
        <v>0.39</v>
      </c>
      <c r="J71" t="inlineStr">
        <is>
          <t>スギ/ヒノキ</t>
        </is>
      </c>
      <c r="K71" t="n">
        <v>56</v>
      </c>
      <c r="L71" t="n">
        <v>125</v>
      </c>
      <c r="M71" t="inlineStr">
        <is>
          <t>Cut &amp; leave (伐捨)</t>
        </is>
      </c>
      <c r="N71" t="n">
        <v>43</v>
      </c>
      <c r="O71" t="n">
        <v>34</v>
      </c>
      <c r="P71" t="inlineStr"/>
      <c r="Q71" t="inlineStr">
        <is>
          <t>施業放置林整備事業</t>
        </is>
      </c>
      <c r="R71" s="13">
        <f>N71/L71*100</f>
        <v/>
      </c>
      <c r="S71" t="inlineStr">
        <is>
          <t>ok</t>
        </is>
      </c>
    </row>
    <row r="72">
      <c r="A72" t="inlineStr">
        <is>
          <t>R8 (FY2026)</t>
        </is>
      </c>
      <c r="B72" t="n">
        <v>452</v>
      </c>
      <c r="C72" t="inlineStr">
        <is>
          <t>森林所有者</t>
        </is>
      </c>
      <c r="D72" t="inlineStr">
        <is>
          <t>神末</t>
        </is>
      </c>
      <c r="E72" t="inlineStr">
        <is>
          <t>3059-205</t>
        </is>
      </c>
      <c r="F72" t="inlineStr">
        <is>
          <t>12</t>
        </is>
      </c>
      <c r="G72" t="inlineStr">
        <is>
          <t>リ</t>
        </is>
      </c>
      <c r="H72" t="inlineStr">
        <is>
          <t>19ノチ</t>
        </is>
      </c>
      <c r="I72" t="n">
        <v>1.62</v>
      </c>
      <c r="J72" t="inlineStr">
        <is>
          <t>スギ/ヒノキ</t>
        </is>
      </c>
      <c r="K72" t="n">
        <v>68</v>
      </c>
      <c r="L72" t="n">
        <v>548</v>
      </c>
      <c r="M72" t="inlineStr">
        <is>
          <t>Cut &amp; leave (伐捨)</t>
        </is>
      </c>
      <c r="N72" t="n">
        <v>187</v>
      </c>
      <c r="O72" t="n">
        <v>34</v>
      </c>
      <c r="P72" t="inlineStr"/>
      <c r="Q72" t="inlineStr">
        <is>
          <t>施業放置林整備事業</t>
        </is>
      </c>
      <c r="R72" s="13">
        <f>N72/L72*100</f>
        <v/>
      </c>
      <c r="S72" t="inlineStr">
        <is>
          <t>ok</t>
        </is>
      </c>
    </row>
    <row r="73">
      <c r="A73" t="inlineStr">
        <is>
          <t>R8 (FY2026)</t>
        </is>
      </c>
      <c r="B73" t="n">
        <v>453</v>
      </c>
      <c r="C73" t="inlineStr">
        <is>
          <t>森林所有者</t>
        </is>
      </c>
      <c r="D73" t="inlineStr">
        <is>
          <t>神末</t>
        </is>
      </c>
      <c r="E73" t="inlineStr">
        <is>
          <t>2470.2475</t>
        </is>
      </c>
      <c r="F73" t="inlineStr">
        <is>
          <t>12</t>
        </is>
      </c>
      <c r="G73" t="inlineStr">
        <is>
          <t>儿</t>
        </is>
      </c>
      <c r="H73" t="inlineStr">
        <is>
          <t>(10.11)ノチ</t>
        </is>
      </c>
      <c r="I73" t="n">
        <v>2.22</v>
      </c>
      <c r="J73" t="inlineStr">
        <is>
          <t>スギ/ヒノキ</t>
        </is>
      </c>
      <c r="K73" t="n">
        <v>61</v>
      </c>
      <c r="L73" t="n">
        <v>750</v>
      </c>
      <c r="M73" t="inlineStr">
        <is>
          <t>Cut &amp; leave (伐捨)</t>
        </is>
      </c>
      <c r="N73" t="n">
        <v>256</v>
      </c>
      <c r="O73" t="n">
        <v>34</v>
      </c>
      <c r="P73" t="inlineStr"/>
      <c r="Q73" t="inlineStr">
        <is>
          <t>施業放置林整備事業</t>
        </is>
      </c>
      <c r="R73" s="13">
        <f>N73/L73*100</f>
        <v/>
      </c>
      <c r="S73" t="inlineStr">
        <is>
          <t>ok</t>
        </is>
      </c>
    </row>
    <row r="74">
      <c r="A74" t="inlineStr">
        <is>
          <t>R8 (FY2026)</t>
        </is>
      </c>
      <c r="B74" t="n">
        <v>454</v>
      </c>
      <c r="C74" t="inlineStr">
        <is>
          <t>森林所有者</t>
        </is>
      </c>
      <c r="D74" t="inlineStr">
        <is>
          <t>神末</t>
        </is>
      </c>
      <c r="E74" t="inlineStr">
        <is>
          <t>2179-214</t>
        </is>
      </c>
      <c r="F74" t="inlineStr">
        <is>
          <t>13</t>
        </is>
      </c>
      <c r="G74" t="inlineStr">
        <is>
          <t>二</t>
        </is>
      </c>
      <c r="H74" t="inlineStr">
        <is>
          <t>(6.7)チ</t>
        </is>
      </c>
      <c r="I74" t="n">
        <v>0.93</v>
      </c>
      <c r="J74" t="inlineStr">
        <is>
          <t>スギ/ヒノキ</t>
        </is>
      </c>
      <c r="K74" t="n">
        <v>53</v>
      </c>
      <c r="L74" t="n">
        <v>239</v>
      </c>
      <c r="M74" t="inlineStr">
        <is>
          <t>Cut &amp; leave (伐捨)</t>
        </is>
      </c>
      <c r="N74" t="n">
        <v>82</v>
      </c>
      <c r="O74" t="n">
        <v>34</v>
      </c>
      <c r="P74" t="inlineStr"/>
      <c r="Q74" t="inlineStr">
        <is>
          <t>施業放置林整備事業</t>
        </is>
      </c>
      <c r="R74" s="13">
        <f>N74/L74*100</f>
        <v/>
      </c>
      <c r="S74" t="inlineStr">
        <is>
          <t>ok</t>
        </is>
      </c>
    </row>
    <row r="75">
      <c r="A75" t="inlineStr">
        <is>
          <t>R8 (FY2026)</t>
        </is>
      </c>
      <c r="B75" t="n">
        <v>455</v>
      </c>
      <c r="C75" t="inlineStr">
        <is>
          <t>森林所有者</t>
        </is>
      </c>
      <c r="D75" t="inlineStr">
        <is>
          <t>神末</t>
        </is>
      </c>
      <c r="E75" t="inlineStr">
        <is>
          <t>1163-170</t>
        </is>
      </c>
      <c r="F75" t="inlineStr">
        <is>
          <t>29</t>
        </is>
      </c>
      <c r="G75" t="inlineStr">
        <is>
          <t>又</t>
        </is>
      </c>
      <c r="H75" t="inlineStr">
        <is>
          <t>9ノウチ</t>
        </is>
      </c>
      <c r="I75" t="n">
        <v>3.32</v>
      </c>
      <c r="J75" t="inlineStr">
        <is>
          <t>スギ/ヒノキ</t>
        </is>
      </c>
      <c r="K75" t="n">
        <v>40</v>
      </c>
      <c r="L75" t="n">
        <v>687</v>
      </c>
      <c r="M75" t="inlineStr">
        <is>
          <t>Cut &amp; leave (伐捨)</t>
        </is>
      </c>
      <c r="N75" t="n">
        <v>234</v>
      </c>
      <c r="O75" t="n">
        <v>34</v>
      </c>
      <c r="P75" t="inlineStr"/>
      <c r="Q75" t="inlineStr">
        <is>
          <t>施業放置林整備事業</t>
        </is>
      </c>
      <c r="R75" s="13">
        <f>N75/L75*100</f>
        <v/>
      </c>
      <c r="S75" t="inlineStr">
        <is>
          <t>ok</t>
        </is>
      </c>
    </row>
    <row r="76">
      <c r="A76" t="inlineStr">
        <is>
          <t>R8 (FY2026)</t>
        </is>
      </c>
      <c r="B76" t="n">
        <v>456</v>
      </c>
      <c r="C76" t="inlineStr">
        <is>
          <t>森林所有者</t>
        </is>
      </c>
      <c r="D76" t="inlineStr">
        <is>
          <t>神末</t>
        </is>
      </c>
      <c r="E76" t="inlineStr">
        <is>
          <t>1163-165</t>
        </is>
      </c>
      <c r="F76" t="inlineStr">
        <is>
          <t>29</t>
        </is>
      </c>
      <c r="G76" t="inlineStr">
        <is>
          <t>儿</t>
        </is>
      </c>
      <c r="H76" t="inlineStr">
        <is>
          <t>(3.4)チ</t>
        </is>
      </c>
      <c r="I76" t="n">
        <v>0.93</v>
      </c>
      <c r="J76" t="inlineStr">
        <is>
          <t>スギ/ヒノキ</t>
        </is>
      </c>
      <c r="K76" t="n">
        <v>63</v>
      </c>
      <c r="L76" t="n">
        <v>314</v>
      </c>
      <c r="M76" t="inlineStr">
        <is>
          <t>Cut &amp; leave (伐捨)</t>
        </is>
      </c>
      <c r="N76" t="n">
        <v>107</v>
      </c>
      <c r="O76" t="n">
        <v>34</v>
      </c>
      <c r="P76" t="inlineStr"/>
      <c r="Q76" t="inlineStr">
        <is>
          <t>施業放置林整備事業</t>
        </is>
      </c>
      <c r="R76" s="13">
        <f>N76/L76*100</f>
        <v/>
      </c>
      <c r="S76" t="inlineStr">
        <is>
          <t>ok</t>
        </is>
      </c>
    </row>
    <row r="77">
      <c r="A77" t="inlineStr">
        <is>
          <t>R8 (FY2026)</t>
        </is>
      </c>
      <c r="B77" t="n">
        <v>457</v>
      </c>
      <c r="C77" t="inlineStr">
        <is>
          <t>森林所有者</t>
        </is>
      </c>
      <c r="D77" t="inlineStr">
        <is>
          <t>菅野</t>
        </is>
      </c>
      <c r="E77" t="inlineStr">
        <is>
          <t>2173</t>
        </is>
      </c>
      <c r="F77" t="inlineStr">
        <is>
          <t>34</t>
        </is>
      </c>
      <c r="G77" t="inlineStr">
        <is>
          <t>二</t>
        </is>
      </c>
      <c r="H77" t="inlineStr">
        <is>
          <t>10ノウチ</t>
        </is>
      </c>
      <c r="I77" t="n">
        <v>1.15</v>
      </c>
      <c r="J77" t="inlineStr">
        <is>
          <t>スギ/ヒノキ</t>
        </is>
      </c>
      <c r="K77" t="n">
        <v>59</v>
      </c>
      <c r="L77" t="n">
        <v>368</v>
      </c>
      <c r="M77" t="inlineStr">
        <is>
          <t>Cut &amp; leave (伐捨)</t>
        </is>
      </c>
      <c r="N77" t="n">
        <v>126</v>
      </c>
      <c r="O77" t="n">
        <v>34</v>
      </c>
      <c r="P77" t="inlineStr"/>
      <c r="Q77" t="inlineStr">
        <is>
          <t>施業放置林整備事業</t>
        </is>
      </c>
      <c r="R77" s="13">
        <f>N77/L77*100</f>
        <v/>
      </c>
      <c r="S77" t="inlineStr">
        <is>
          <t>ok</t>
        </is>
      </c>
    </row>
    <row r="78">
      <c r="A78" t="inlineStr">
        <is>
          <t>R8 (FY2026)</t>
        </is>
      </c>
      <c r="B78" t="n">
        <v>458</v>
      </c>
      <c r="C78" t="inlineStr">
        <is>
          <t>森林所有者</t>
        </is>
      </c>
      <c r="D78" t="inlineStr">
        <is>
          <t>菅野</t>
        </is>
      </c>
      <c r="E78" t="inlineStr">
        <is>
          <t>1068-36.-69</t>
        </is>
      </c>
      <c r="F78" t="inlineStr">
        <is>
          <t>37</t>
        </is>
      </c>
      <c r="G78" t="inlineStr">
        <is>
          <t>へ</t>
        </is>
      </c>
      <c r="H78" t="inlineStr">
        <is>
          <t>32~40</t>
        </is>
      </c>
      <c r="I78" t="n">
        <v>1.86</v>
      </c>
      <c r="J78" t="inlineStr">
        <is>
          <t>スギ/ヒノキ</t>
        </is>
      </c>
      <c r="K78" t="n">
        <v>68</v>
      </c>
      <c r="L78" t="n">
        <v>629</v>
      </c>
      <c r="M78" t="inlineStr">
        <is>
          <t>Cut &amp; leave (伐捨)</t>
        </is>
      </c>
      <c r="N78" t="n">
        <v>214</v>
      </c>
      <c r="O78" t="n">
        <v>34</v>
      </c>
      <c r="P78" t="inlineStr"/>
      <c r="Q78" t="inlineStr">
        <is>
          <t>施業放置林整備事業</t>
        </is>
      </c>
      <c r="R78" s="13">
        <f>N78/L78*100</f>
        <v/>
      </c>
      <c r="S78" t="inlineStr">
        <is>
          <t>ok</t>
        </is>
      </c>
    </row>
    <row r="79">
      <c r="A79" t="inlineStr">
        <is>
          <t>R8 (FY2026)</t>
        </is>
      </c>
      <c r="B79" t="n">
        <v>459</v>
      </c>
      <c r="C79" t="inlineStr">
        <is>
          <t>森林所有者</t>
        </is>
      </c>
      <c r="D79" t="inlineStr">
        <is>
          <t>菅野</t>
        </is>
      </c>
      <c r="E79" t="inlineStr">
        <is>
          <t>964-47.-77</t>
        </is>
      </c>
      <c r="F79" t="inlineStr">
        <is>
          <t>48</t>
        </is>
      </c>
      <c r="G79" t="inlineStr">
        <is>
          <t>卜</t>
        </is>
      </c>
      <c r="H79" t="inlineStr">
        <is>
          <t>(4.5)ノチ</t>
        </is>
      </c>
      <c r="I79" t="n">
        <v>3.54</v>
      </c>
      <c r="J79" t="inlineStr">
        <is>
          <t>スギ/ヒノキ</t>
        </is>
      </c>
      <c r="K79" t="n">
        <v>59</v>
      </c>
      <c r="L79" t="n">
        <v>1133</v>
      </c>
      <c r="M79" t="inlineStr">
        <is>
          <t>Cut &amp; leave (伐捨)</t>
        </is>
      </c>
      <c r="N79" t="n">
        <v>386</v>
      </c>
      <c r="O79" t="n">
        <v>34</v>
      </c>
      <c r="P79" t="inlineStr"/>
      <c r="Q79" t="inlineStr">
        <is>
          <t>施業放置林整備事業</t>
        </is>
      </c>
      <c r="R79" s="13">
        <f>N79/L79*100</f>
        <v/>
      </c>
      <c r="S79" t="inlineStr">
        <is>
          <t>ok</t>
        </is>
      </c>
    </row>
    <row r="80">
      <c r="A80" t="inlineStr">
        <is>
          <t>R8 (FY2026)</t>
        </is>
      </c>
      <c r="B80" t="n">
        <v>460</v>
      </c>
      <c r="C80" t="inlineStr">
        <is>
          <t>森林所有者</t>
        </is>
      </c>
      <c r="D80" t="inlineStr">
        <is>
          <t>菅野</t>
        </is>
      </c>
      <c r="E80" t="inlineStr">
        <is>
          <t>2171</t>
        </is>
      </c>
      <c r="F80" t="inlineStr">
        <is>
          <t>34</t>
        </is>
      </c>
      <c r="G80" t="inlineStr">
        <is>
          <t>二</t>
        </is>
      </c>
      <c r="H80" t="inlineStr">
        <is>
          <t>(12.13)チ</t>
        </is>
      </c>
      <c r="I80" t="n">
        <v>0.39</v>
      </c>
      <c r="J80" t="inlineStr">
        <is>
          <t>スギ/ヒノキ</t>
        </is>
      </c>
      <c r="K80" t="n">
        <v>73</v>
      </c>
      <c r="L80" t="n">
        <v>132</v>
      </c>
      <c r="M80" t="inlineStr">
        <is>
          <t>Cut &amp; leave (伐捨)</t>
        </is>
      </c>
      <c r="N80" t="n">
        <v>45</v>
      </c>
      <c r="O80" t="n">
        <v>34</v>
      </c>
      <c r="P80" t="inlineStr"/>
      <c r="Q80" t="inlineStr">
        <is>
          <t>施業放置林整備事業</t>
        </is>
      </c>
      <c r="R80" s="13">
        <f>N80/L80*100</f>
        <v/>
      </c>
      <c r="S80" t="inlineStr">
        <is>
          <t>ok</t>
        </is>
      </c>
    </row>
    <row r="81">
      <c r="A81" t="inlineStr">
        <is>
          <t>R8 (FY2026)</t>
        </is>
      </c>
      <c r="B81" t="n">
        <v>461</v>
      </c>
      <c r="C81" t="inlineStr">
        <is>
          <t>森林所有者</t>
        </is>
      </c>
      <c r="D81" t="inlineStr">
        <is>
          <t>土屋原</t>
        </is>
      </c>
      <c r="E81" t="inlineStr">
        <is>
          <t>876-7</t>
        </is>
      </c>
      <c r="F81" t="inlineStr">
        <is>
          <t>68</t>
        </is>
      </c>
      <c r="G81" t="inlineStr">
        <is>
          <t>V</t>
        </is>
      </c>
      <c r="H81" t="inlineStr">
        <is>
          <t>5ノウチ</t>
        </is>
      </c>
      <c r="I81" t="n">
        <v>1.21</v>
      </c>
      <c r="J81" t="inlineStr">
        <is>
          <t>スギ/ヒノキ</t>
        </is>
      </c>
      <c r="K81" t="n">
        <v>56</v>
      </c>
      <c r="L81" t="n">
        <v>387</v>
      </c>
      <c r="M81" t="inlineStr">
        <is>
          <t>Cut &amp; leave (伐捨)</t>
        </is>
      </c>
      <c r="N81" t="n">
        <v>132</v>
      </c>
      <c r="O81" t="n">
        <v>34</v>
      </c>
      <c r="P81" t="inlineStr"/>
      <c r="Q81" t="inlineStr">
        <is>
          <t>施業放置林整備事業</t>
        </is>
      </c>
      <c r="R81" s="13">
        <f>N81/L81*100</f>
        <v/>
      </c>
      <c r="S81" t="inlineStr">
        <is>
          <t>ok</t>
        </is>
      </c>
    </row>
    <row r="82">
      <c r="A82" t="inlineStr">
        <is>
          <t>R8 (FY2026)</t>
        </is>
      </c>
      <c r="B82" t="n">
        <v>462</v>
      </c>
      <c r="C82" t="inlineStr">
        <is>
          <t>森林所有者</t>
        </is>
      </c>
      <c r="D82" t="inlineStr">
        <is>
          <t>土屋原</t>
        </is>
      </c>
      <c r="E82" t="inlineStr">
        <is>
          <t>533</t>
        </is>
      </c>
      <c r="F82" t="inlineStr">
        <is>
          <t>69</t>
        </is>
      </c>
      <c r="G82" t="inlineStr">
        <is>
          <t>八</t>
        </is>
      </c>
      <c r="H82" t="inlineStr">
        <is>
          <t>(5.7~10)ノチ</t>
        </is>
      </c>
      <c r="I82" t="n">
        <v>3.79</v>
      </c>
      <c r="J82" t="inlineStr">
        <is>
          <t>スギ/ヒノキ</t>
        </is>
      </c>
      <c r="K82" t="n">
        <v>61</v>
      </c>
      <c r="L82" t="n">
        <v>1281</v>
      </c>
      <c r="M82" t="inlineStr">
        <is>
          <t>Cut &amp; leave (伐捨)</t>
        </is>
      </c>
      <c r="N82" t="n">
        <v>436</v>
      </c>
      <c r="O82" t="n">
        <v>34</v>
      </c>
      <c r="P82" t="inlineStr"/>
      <c r="Q82" t="inlineStr">
        <is>
          <t>施業放置林整備事業</t>
        </is>
      </c>
      <c r="R82" s="13">
        <f>N82/L82*100</f>
        <v/>
      </c>
      <c r="S82" t="inlineStr">
        <is>
          <t>ok</t>
        </is>
      </c>
    </row>
    <row r="83">
      <c r="A83" t="inlineStr">
        <is>
          <t>R8 (FY2026)</t>
        </is>
      </c>
      <c r="B83" t="n">
        <v>463</v>
      </c>
      <c r="C83" t="inlineStr">
        <is>
          <t>森林所有者</t>
        </is>
      </c>
      <c r="D83" t="inlineStr">
        <is>
          <t>桃俣</t>
        </is>
      </c>
      <c r="E83" t="inlineStr">
        <is>
          <t>1838-1</t>
        </is>
      </c>
      <c r="F83" t="inlineStr">
        <is>
          <t>71</t>
        </is>
      </c>
      <c r="G83" t="inlineStr">
        <is>
          <t>口</t>
        </is>
      </c>
      <c r="H83" t="inlineStr">
        <is>
          <t>30ノウチ</t>
        </is>
      </c>
      <c r="I83" t="n">
        <v>1.7</v>
      </c>
      <c r="J83" t="inlineStr">
        <is>
          <t>スギ/ヒノキ</t>
        </is>
      </c>
      <c r="K83" t="n">
        <v>72</v>
      </c>
      <c r="L83" t="n">
        <v>575</v>
      </c>
      <c r="M83" t="inlineStr">
        <is>
          <t>Cut &amp; leave (伐捨)</t>
        </is>
      </c>
      <c r="N83" t="n">
        <v>196</v>
      </c>
      <c r="O83" t="n">
        <v>34</v>
      </c>
      <c r="P83" t="inlineStr"/>
      <c r="Q83" t="inlineStr">
        <is>
          <t>施業放置林整備事業</t>
        </is>
      </c>
      <c r="R83" s="13">
        <f>N83/L83*100</f>
        <v/>
      </c>
      <c r="S83" t="inlineStr">
        <is>
          <t>ok</t>
        </is>
      </c>
    </row>
    <row r="84">
      <c r="A84" t="inlineStr">
        <is>
          <t>R8 (FY2026)</t>
        </is>
      </c>
      <c r="B84" t="n">
        <v>464</v>
      </c>
      <c r="C84" t="inlineStr">
        <is>
          <t>森林所有者</t>
        </is>
      </c>
      <c r="D84" t="inlineStr">
        <is>
          <t>桃俣</t>
        </is>
      </c>
      <c r="E84" t="inlineStr">
        <is>
          <t>1773-163</t>
        </is>
      </c>
      <c r="F84" t="inlineStr">
        <is>
          <t>73</t>
        </is>
      </c>
      <c r="G84" t="inlineStr">
        <is>
          <t>八</t>
        </is>
      </c>
      <c r="H84" t="inlineStr">
        <is>
          <t>(4.12)ノチ</t>
        </is>
      </c>
      <c r="I84" t="n">
        <v>1.04</v>
      </c>
      <c r="J84" t="inlineStr">
        <is>
          <t>スギ/ヒノキ</t>
        </is>
      </c>
      <c r="K84" t="n">
        <v>65</v>
      </c>
      <c r="L84" t="n">
        <v>352</v>
      </c>
      <c r="M84" t="inlineStr">
        <is>
          <t>Cut &amp; leave (伐捨)</t>
        </is>
      </c>
      <c r="N84" t="n">
        <v>120</v>
      </c>
      <c r="O84" t="n">
        <v>34</v>
      </c>
      <c r="P84" t="inlineStr"/>
      <c r="Q84" t="inlineStr">
        <is>
          <t>施業放置林整備事業</t>
        </is>
      </c>
      <c r="R84" s="13">
        <f>N84/L84*100</f>
        <v/>
      </c>
      <c r="S84" t="inlineStr">
        <is>
          <t>ok</t>
        </is>
      </c>
    </row>
    <row r="85">
      <c r="A85" t="inlineStr">
        <is>
          <t>R8 (FY2026)</t>
        </is>
      </c>
      <c r="B85" t="n">
        <v>465</v>
      </c>
      <c r="C85" t="inlineStr">
        <is>
          <t>森林所有者</t>
        </is>
      </c>
      <c r="D85" t="inlineStr">
        <is>
          <t>菅野</t>
        </is>
      </c>
      <c r="E85" t="inlineStr">
        <is>
          <t>2151.2152.2153</t>
        </is>
      </c>
      <c r="F85" t="inlineStr">
        <is>
          <t>34</t>
        </is>
      </c>
      <c r="G85" t="inlineStr">
        <is>
          <t>ホ</t>
        </is>
      </c>
      <c r="H85" t="inlineStr">
        <is>
          <t>(5~7.11)ノチ</t>
        </is>
      </c>
      <c r="I85" t="n">
        <v>0.59</v>
      </c>
      <c r="J85" t="inlineStr">
        <is>
          <t>スギ/ヒノキ</t>
        </is>
      </c>
      <c r="K85" t="n">
        <v>73</v>
      </c>
      <c r="L85" t="n">
        <v>199</v>
      </c>
      <c r="M85" t="inlineStr">
        <is>
          <t>Cut &amp; leave (伐捨)</t>
        </is>
      </c>
      <c r="N85" t="n">
        <v>68</v>
      </c>
      <c r="O85" t="n">
        <v>34</v>
      </c>
      <c r="P85" t="inlineStr"/>
      <c r="Q85" t="inlineStr">
        <is>
          <t>施業放置林整備事業</t>
        </is>
      </c>
      <c r="R85" s="13">
        <f>N85/L85*100</f>
        <v/>
      </c>
      <c r="S85" t="inlineStr">
        <is>
          <t>ok</t>
        </is>
      </c>
    </row>
    <row r="86">
      <c r="A86" t="inlineStr">
        <is>
          <t>R8 (FY2026)</t>
        </is>
      </c>
      <c r="B86" t="n">
        <v>466</v>
      </c>
      <c r="C86" t="inlineStr">
        <is>
          <t>森林所有者</t>
        </is>
      </c>
      <c r="D86" t="inlineStr">
        <is>
          <t>菅野</t>
        </is>
      </c>
      <c r="E86" t="inlineStr">
        <is>
          <t>1223-20</t>
        </is>
      </c>
      <c r="F86" t="inlineStr">
        <is>
          <t>36</t>
        </is>
      </c>
      <c r="G86" t="inlineStr">
        <is>
          <t>八</t>
        </is>
      </c>
      <c r="H86" t="inlineStr">
        <is>
          <t>(1~11)ノチ</t>
        </is>
      </c>
      <c r="I86" t="n">
        <v>6.35</v>
      </c>
      <c r="J86" t="inlineStr">
        <is>
          <t>スギ/ヒノキ</t>
        </is>
      </c>
      <c r="K86" t="n">
        <v>76</v>
      </c>
      <c r="L86" t="n">
        <v>2146</v>
      </c>
      <c r="M86" t="inlineStr">
        <is>
          <t>Cut &amp; leave (伐捨)</t>
        </is>
      </c>
      <c r="N86" t="n">
        <v>730</v>
      </c>
      <c r="O86" t="n">
        <v>34</v>
      </c>
      <c r="P86" t="inlineStr"/>
      <c r="Q86" t="inlineStr">
        <is>
          <t>施業放置林整備事業</t>
        </is>
      </c>
      <c r="R86" s="13">
        <f>N86/L86*100</f>
        <v/>
      </c>
      <c r="S86" t="inlineStr">
        <is>
          <t>ok</t>
        </is>
      </c>
    </row>
    <row r="87">
      <c r="A87" t="inlineStr">
        <is>
          <t>R8 (FY2026)</t>
        </is>
      </c>
      <c r="B87" t="n">
        <v>467</v>
      </c>
      <c r="C87" t="inlineStr">
        <is>
          <t>森林所有者</t>
        </is>
      </c>
      <c r="D87" t="inlineStr">
        <is>
          <t>桃俣</t>
        </is>
      </c>
      <c r="E87" t="inlineStr">
        <is>
          <t>1772-191</t>
        </is>
      </c>
      <c r="F87" t="inlineStr">
        <is>
          <t>79</t>
        </is>
      </c>
      <c r="G87" t="inlineStr">
        <is>
          <t>1</t>
        </is>
      </c>
      <c r="H87" t="inlineStr">
        <is>
          <t>(8.9)ノウチ</t>
        </is>
      </c>
      <c r="I87" t="n">
        <v>1.32</v>
      </c>
      <c r="J87" t="inlineStr">
        <is>
          <t>スギ/ヒノキ</t>
        </is>
      </c>
      <c r="K87" t="n">
        <v>61</v>
      </c>
      <c r="L87" t="n">
        <v>446</v>
      </c>
      <c r="M87" t="inlineStr">
        <is>
          <t>Cut &amp; leave (伐捨)</t>
        </is>
      </c>
      <c r="N87" t="n">
        <v>152</v>
      </c>
      <c r="O87" t="n">
        <v>34</v>
      </c>
      <c r="P87" t="inlineStr"/>
      <c r="Q87" t="inlineStr">
        <is>
          <t>施業放置林整備事業</t>
        </is>
      </c>
      <c r="R87" s="13">
        <f>N87/L87*100</f>
        <v/>
      </c>
      <c r="S87" t="inlineStr">
        <is>
          <t>ok</t>
        </is>
      </c>
    </row>
    <row r="88">
      <c r="A88" t="inlineStr">
        <is>
          <t>R8 (FY2026)</t>
        </is>
      </c>
      <c r="B88" t="n">
        <v>468</v>
      </c>
      <c r="C88" t="inlineStr">
        <is>
          <t>森林所有者</t>
        </is>
      </c>
      <c r="D88" t="inlineStr">
        <is>
          <t>菅野</t>
        </is>
      </c>
      <c r="E88" t="inlineStr">
        <is>
          <t>1068-146</t>
        </is>
      </c>
      <c r="F88" t="inlineStr">
        <is>
          <t>38</t>
        </is>
      </c>
      <c r="G88" t="inlineStr">
        <is>
          <t>口</t>
        </is>
      </c>
      <c r="H88" t="inlineStr">
        <is>
          <t>3ノウチ</t>
        </is>
      </c>
      <c r="I88" t="n">
        <v>1.23</v>
      </c>
      <c r="J88" t="inlineStr">
        <is>
          <t>スギ/ヒノキ</t>
        </is>
      </c>
      <c r="K88" t="n">
        <v>60</v>
      </c>
      <c r="L88" t="n">
        <v>394</v>
      </c>
      <c r="M88" t="inlineStr">
        <is>
          <t>Cut &amp; leave (伐捨)</t>
        </is>
      </c>
      <c r="N88" t="n">
        <v>134</v>
      </c>
      <c r="O88" t="n">
        <v>34</v>
      </c>
      <c r="P88" t="inlineStr"/>
      <c r="Q88" t="inlineStr">
        <is>
          <t>施業放置林整備事業</t>
        </is>
      </c>
      <c r="R88" s="13">
        <f>N88/L88*100</f>
        <v/>
      </c>
      <c r="S88" t="inlineStr">
        <is>
          <t>ok</t>
        </is>
      </c>
    </row>
    <row r="89">
      <c r="A89" t="inlineStr">
        <is>
          <t>R8 (FY2026)</t>
        </is>
      </c>
      <c r="B89" t="n">
        <v>469</v>
      </c>
      <c r="C89" t="inlineStr">
        <is>
          <t>森林所有者</t>
        </is>
      </c>
      <c r="D89" t="inlineStr">
        <is>
          <t>菅野</t>
        </is>
      </c>
      <c r="E89" t="inlineStr">
        <is>
          <t>1068-156</t>
        </is>
      </c>
      <c r="F89" t="inlineStr">
        <is>
          <t>38</t>
        </is>
      </c>
      <c r="G89" t="inlineStr">
        <is>
          <t>口</t>
        </is>
      </c>
      <c r="H89" t="inlineStr">
        <is>
          <t>4/少チ</t>
        </is>
      </c>
      <c r="I89" t="n">
        <v>1.18</v>
      </c>
      <c r="J89" t="inlineStr">
        <is>
          <t>スギ/ヒノキ</t>
        </is>
      </c>
      <c r="K89" t="n">
        <v>57</v>
      </c>
      <c r="L89" t="n">
        <v>378</v>
      </c>
      <c r="M89" t="inlineStr">
        <is>
          <t>Cut &amp; leave (伐捨)</t>
        </is>
      </c>
      <c r="N89" t="n">
        <v>129</v>
      </c>
      <c r="O89" t="n">
        <v>34</v>
      </c>
      <c r="P89" t="inlineStr"/>
      <c r="Q89" t="inlineStr">
        <is>
          <t>施業放置林整備事業</t>
        </is>
      </c>
      <c r="R89" s="13">
        <f>N89/L89*100</f>
        <v/>
      </c>
      <c r="S89" t="inlineStr">
        <is>
          <t>ok</t>
        </is>
      </c>
    </row>
    <row r="90">
      <c r="A90" t="inlineStr">
        <is>
          <t>R8 (FY2026)</t>
        </is>
      </c>
      <c r="B90" t="n">
        <v>470</v>
      </c>
      <c r="C90" t="inlineStr">
        <is>
          <t>森林所有者</t>
        </is>
      </c>
      <c r="D90" t="inlineStr">
        <is>
          <t>桃俣</t>
        </is>
      </c>
      <c r="E90" t="inlineStr">
        <is>
          <t>1358-1</t>
        </is>
      </c>
      <c r="F90" t="inlineStr">
        <is>
          <t>82</t>
        </is>
      </c>
      <c r="G90" t="inlineStr">
        <is>
          <t>1</t>
        </is>
      </c>
      <c r="H90" t="inlineStr">
        <is>
          <t>8/ウチ</t>
        </is>
      </c>
      <c r="I90" t="n">
        <v>0.9</v>
      </c>
      <c r="J90" t="inlineStr">
        <is>
          <t>スギ/ヒノキ</t>
        </is>
      </c>
      <c r="K90" t="n">
        <v>65</v>
      </c>
      <c r="L90" t="n">
        <v>304</v>
      </c>
      <c r="M90" t="inlineStr">
        <is>
          <t>Cut &amp; leave (伐捨)</t>
        </is>
      </c>
      <c r="N90" t="n">
        <v>104</v>
      </c>
      <c r="O90" t="n">
        <v>34</v>
      </c>
      <c r="P90" t="inlineStr"/>
      <c r="Q90" t="inlineStr">
        <is>
          <t>施業放置林整備事業</t>
        </is>
      </c>
      <c r="R90" s="13">
        <f>N90/L90*100</f>
        <v/>
      </c>
      <c r="S90" t="inlineStr">
        <is>
          <t>ok</t>
        </is>
      </c>
    </row>
    <row r="91">
      <c r="A91" t="inlineStr">
        <is>
          <t>R8 (FY2026)</t>
        </is>
      </c>
      <c r="B91" t="n">
        <v>471</v>
      </c>
      <c r="C91" t="inlineStr">
        <is>
          <t>森林所有者</t>
        </is>
      </c>
      <c r="D91" t="inlineStr">
        <is>
          <t>菅野</t>
        </is>
      </c>
      <c r="E91" t="inlineStr">
        <is>
          <t>1068-47.-55</t>
        </is>
      </c>
      <c r="F91" t="inlineStr">
        <is>
          <t>37</t>
        </is>
      </c>
      <c r="G91" t="inlineStr">
        <is>
          <t>八</t>
        </is>
      </c>
      <c r="H91" t="inlineStr">
        <is>
          <t>(12.13.15)/チ</t>
        </is>
      </c>
      <c r="I91" t="n">
        <v>1.42</v>
      </c>
      <c r="J91" t="inlineStr">
        <is>
          <t>スギ/ヒノキ</t>
        </is>
      </c>
      <c r="K91" t="n">
        <v>73</v>
      </c>
      <c r="L91" t="n">
        <v>480</v>
      </c>
      <c r="M91" t="inlineStr">
        <is>
          <t>Cut &amp; leave (伐捨)</t>
        </is>
      </c>
      <c r="N91" t="n">
        <v>164</v>
      </c>
      <c r="O91" t="n">
        <v>34</v>
      </c>
      <c r="P91" t="inlineStr"/>
      <c r="Q91" t="inlineStr">
        <is>
          <t>施業放置林整備事業</t>
        </is>
      </c>
      <c r="R91" s="13">
        <f>N91/L91*100</f>
        <v/>
      </c>
      <c r="S91" t="inlineStr">
        <is>
          <t>ok</t>
        </is>
      </c>
    </row>
    <row r="92">
      <c r="A92" t="inlineStr">
        <is>
          <t>R8 (FY2026)</t>
        </is>
      </c>
      <c r="B92" t="n">
        <v>472</v>
      </c>
      <c r="C92" t="inlineStr">
        <is>
          <t>森林所有者</t>
        </is>
      </c>
      <c r="D92" t="inlineStr">
        <is>
          <t>桃俣</t>
        </is>
      </c>
      <c r="E92" t="inlineStr">
        <is>
          <t>1511</t>
        </is>
      </c>
      <c r="F92" t="inlineStr">
        <is>
          <t>82</t>
        </is>
      </c>
      <c r="G92" t="inlineStr">
        <is>
          <t>八</t>
        </is>
      </c>
      <c r="H92" t="inlineStr">
        <is>
          <t>(19.20)チ</t>
        </is>
      </c>
      <c r="I92" t="n">
        <v>1.24</v>
      </c>
      <c r="J92" t="inlineStr">
        <is>
          <t>スギ/ヒノキ</t>
        </is>
      </c>
      <c r="K92" t="n">
        <v>60</v>
      </c>
      <c r="L92" t="n">
        <v>397</v>
      </c>
      <c r="M92" t="inlineStr">
        <is>
          <t>Cut &amp; leave (伐捨)</t>
        </is>
      </c>
      <c r="N92" t="n">
        <v>135</v>
      </c>
      <c r="O92" t="n">
        <v>34</v>
      </c>
      <c r="P92" t="inlineStr"/>
      <c r="Q92" t="inlineStr">
        <is>
          <t>施業放置林整備事業</t>
        </is>
      </c>
      <c r="R92" s="13">
        <f>N92/L92*100</f>
        <v/>
      </c>
      <c r="S92" t="inlineStr">
        <is>
          <t>ok</t>
        </is>
      </c>
    </row>
    <row r="93">
      <c r="A93" t="inlineStr">
        <is>
          <t>R8 (FY2026)</t>
        </is>
      </c>
      <c r="B93" t="n">
        <v>473</v>
      </c>
      <c r="C93" t="inlineStr">
        <is>
          <t>森林所有者</t>
        </is>
      </c>
      <c r="D93" t="inlineStr">
        <is>
          <t>菅野</t>
        </is>
      </c>
      <c r="E93" t="inlineStr">
        <is>
          <t>964-89.-90.-92.-93</t>
        </is>
      </c>
      <c r="F93" t="inlineStr">
        <is>
          <t>47</t>
        </is>
      </c>
      <c r="G93" t="inlineStr">
        <is>
          <t>へ</t>
        </is>
      </c>
      <c r="H93" t="inlineStr">
        <is>
          <t>(10~12)ノチ</t>
        </is>
      </c>
      <c r="I93" t="n">
        <v>2.45</v>
      </c>
      <c r="J93" t="inlineStr">
        <is>
          <t>スギ/ヒノキ</t>
        </is>
      </c>
      <c r="K93" t="n">
        <v>68</v>
      </c>
      <c r="L93" t="n">
        <v>828</v>
      </c>
      <c r="M93" t="inlineStr">
        <is>
          <t>Cut &amp; leave (伐捨)</t>
        </is>
      </c>
      <c r="N93" t="n">
        <v>282</v>
      </c>
      <c r="O93" t="n">
        <v>34</v>
      </c>
      <c r="P93" t="inlineStr"/>
      <c r="Q93" t="inlineStr">
        <is>
          <t>施業放置林整備事業</t>
        </is>
      </c>
      <c r="R93" s="13">
        <f>N93/L93*100</f>
        <v/>
      </c>
      <c r="S93" t="inlineStr">
        <is>
          <t>ok</t>
        </is>
      </c>
    </row>
    <row r="94">
      <c r="A94" t="inlineStr">
        <is>
          <t>R8 (FY2026)</t>
        </is>
      </c>
      <c r="B94" t="n">
        <v>474</v>
      </c>
      <c r="C94" t="inlineStr">
        <is>
          <t>森林所有者</t>
        </is>
      </c>
      <c r="D94" t="inlineStr">
        <is>
          <t>菅野</t>
        </is>
      </c>
      <c r="E94" t="inlineStr">
        <is>
          <t>964-89.-90</t>
        </is>
      </c>
      <c r="F94" t="inlineStr">
        <is>
          <t>47</t>
        </is>
      </c>
      <c r="G94" t="inlineStr">
        <is>
          <t>卜</t>
        </is>
      </c>
      <c r="H94" t="inlineStr">
        <is>
          <t>11ノウチ</t>
        </is>
      </c>
      <c r="I94" t="n">
        <v>0.53</v>
      </c>
      <c r="J94" t="inlineStr">
        <is>
          <t>スギ/ヒノキ</t>
        </is>
      </c>
      <c r="K94" t="n">
        <v>55</v>
      </c>
      <c r="L94" t="n">
        <v>136</v>
      </c>
      <c r="M94" t="inlineStr">
        <is>
          <t>Cut &amp; leave (伐捨)</t>
        </is>
      </c>
      <c r="N94" t="n">
        <v>47</v>
      </c>
      <c r="O94" t="n">
        <v>34</v>
      </c>
      <c r="P94" t="inlineStr"/>
      <c r="Q94" t="inlineStr">
        <is>
          <t>施業放置林整備事業</t>
        </is>
      </c>
      <c r="R94" s="13">
        <f>N94/L94*100</f>
        <v/>
      </c>
      <c r="S94" t="inlineStr">
        <is>
          <t>ok</t>
        </is>
      </c>
    </row>
    <row r="95">
      <c r="A95" t="inlineStr">
        <is>
          <t>R8 (FY2026)</t>
        </is>
      </c>
      <c r="B95" t="n">
        <v>475</v>
      </c>
      <c r="C95" t="inlineStr">
        <is>
          <t>森林所有者</t>
        </is>
      </c>
      <c r="D95" t="inlineStr">
        <is>
          <t>桃俣</t>
        </is>
      </c>
      <c r="E95" t="inlineStr">
        <is>
          <t>1140-238.-239</t>
        </is>
      </c>
      <c r="F95" t="inlineStr">
        <is>
          <t>83</t>
        </is>
      </c>
      <c r="G95" t="inlineStr">
        <is>
          <t>へ</t>
        </is>
      </c>
      <c r="H95" t="inlineStr">
        <is>
          <t>(11~13)ノチ</t>
        </is>
      </c>
      <c r="I95" t="n">
        <v>1.67</v>
      </c>
      <c r="J95" t="inlineStr">
        <is>
          <t>スギ/ヒノキ</t>
        </is>
      </c>
      <c r="K95" t="n">
        <v>58</v>
      </c>
      <c r="L95" t="n">
        <v>534</v>
      </c>
      <c r="M95" t="inlineStr">
        <is>
          <t>Cut &amp; leave (伐捨)</t>
        </is>
      </c>
      <c r="N95" t="n">
        <v>182</v>
      </c>
      <c r="O95" t="n">
        <v>34</v>
      </c>
      <c r="P95" t="inlineStr"/>
      <c r="Q95" t="inlineStr">
        <is>
          <t>施業放置林整備事業</t>
        </is>
      </c>
      <c r="R95" s="13">
        <f>N95/L95*100</f>
        <v/>
      </c>
      <c r="S95" t="inlineStr">
        <is>
          <t>ok</t>
        </is>
      </c>
    </row>
    <row r="96">
      <c r="A96" t="inlineStr">
        <is>
          <t>R8 (FY2026)</t>
        </is>
      </c>
      <c r="B96" t="n">
        <v>476</v>
      </c>
      <c r="C96" t="inlineStr">
        <is>
          <t>森林所有者</t>
        </is>
      </c>
      <c r="D96" t="inlineStr">
        <is>
          <t>土屋原</t>
        </is>
      </c>
      <c r="E96" t="inlineStr">
        <is>
          <t>3313-37.-38</t>
        </is>
      </c>
      <c r="F96" t="inlineStr">
        <is>
          <t>64</t>
        </is>
      </c>
      <c r="G96" t="inlineStr">
        <is>
          <t>ホ</t>
        </is>
      </c>
      <c r="H96" t="inlineStr">
        <is>
          <t>(4~9)ノウチ</t>
        </is>
      </c>
      <c r="I96" t="n">
        <v>2.18</v>
      </c>
      <c r="J96" t="inlineStr">
        <is>
          <t>スギ/ヒノキ</t>
        </is>
      </c>
      <c r="K96" t="n">
        <v>58</v>
      </c>
      <c r="L96" t="n">
        <v>698</v>
      </c>
      <c r="M96" t="inlineStr">
        <is>
          <t>Cut &amp; leave (伐捨)</t>
        </is>
      </c>
      <c r="N96" t="n">
        <v>238</v>
      </c>
      <c r="O96" t="n">
        <v>34</v>
      </c>
      <c r="P96" t="inlineStr"/>
      <c r="Q96" t="inlineStr">
        <is>
          <t>施業放置林整備事業</t>
        </is>
      </c>
      <c r="R96" s="13">
        <f>N96/L96*100</f>
        <v/>
      </c>
      <c r="S96" t="inlineStr">
        <is>
          <t>ok</t>
        </is>
      </c>
    </row>
    <row r="97">
      <c r="A97" t="inlineStr">
        <is>
          <t>R8 (FY2026)</t>
        </is>
      </c>
      <c r="B97" t="n">
        <v>477</v>
      </c>
      <c r="C97" t="inlineStr">
        <is>
          <t>森林所有者</t>
        </is>
      </c>
      <c r="D97" t="inlineStr">
        <is>
          <t>桃俣</t>
        </is>
      </c>
      <c r="E97" t="inlineStr">
        <is>
          <t>868-1.875</t>
        </is>
      </c>
      <c r="F97" t="inlineStr">
        <is>
          <t>86</t>
        </is>
      </c>
      <c r="G97" t="inlineStr">
        <is>
          <t>イ</t>
        </is>
      </c>
      <c r="H97" t="inlineStr">
        <is>
          <t>(1~4)ノウチ</t>
        </is>
      </c>
      <c r="I97" t="n">
        <v>0.55</v>
      </c>
      <c r="J97" t="inlineStr">
        <is>
          <t>スギ/ヒノキ</t>
        </is>
      </c>
      <c r="K97" t="n">
        <v>72</v>
      </c>
      <c r="L97" t="n">
        <v>186</v>
      </c>
      <c r="M97" t="inlineStr">
        <is>
          <t>Cut &amp; leave (伐捨)</t>
        </is>
      </c>
      <c r="N97" t="n">
        <v>64</v>
      </c>
      <c r="O97" t="n">
        <v>34</v>
      </c>
      <c r="P97" t="inlineStr"/>
      <c r="Q97" t="inlineStr">
        <is>
          <t>施業放置林整備事業</t>
        </is>
      </c>
      <c r="R97" s="13">
        <f>N97/L97*100</f>
        <v/>
      </c>
      <c r="S97" t="inlineStr">
        <is>
          <t>ok</t>
        </is>
      </c>
    </row>
    <row r="98">
      <c r="A98" t="inlineStr">
        <is>
          <t>R8 (FY2026)</t>
        </is>
      </c>
      <c r="B98" t="n">
        <v>478</v>
      </c>
      <c r="C98" t="inlineStr">
        <is>
          <t>森林所有者</t>
        </is>
      </c>
      <c r="D98" t="inlineStr">
        <is>
          <t>菅野</t>
        </is>
      </c>
      <c r="E98" t="inlineStr">
        <is>
          <t>3657-127</t>
        </is>
      </c>
      <c r="F98" t="inlineStr">
        <is>
          <t>99</t>
        </is>
      </c>
      <c r="G98" t="inlineStr">
        <is>
          <t>八</t>
        </is>
      </c>
      <c r="H98" t="inlineStr">
        <is>
          <t>10ノウチ</t>
        </is>
      </c>
      <c r="I98" t="n">
        <v>0.97</v>
      </c>
      <c r="J98" t="inlineStr">
        <is>
          <t>スギ/ヒノキ</t>
        </is>
      </c>
      <c r="K98" t="n">
        <v>72</v>
      </c>
      <c r="L98" t="n">
        <v>328</v>
      </c>
      <c r="M98" t="inlineStr">
        <is>
          <t>Cut &amp; leave (伐捨)</t>
        </is>
      </c>
      <c r="N98" t="n">
        <v>112</v>
      </c>
      <c r="O98" t="n">
        <v>34</v>
      </c>
      <c r="P98" t="inlineStr"/>
      <c r="Q98" t="inlineStr">
        <is>
          <t>施業放置林整備事業</t>
        </is>
      </c>
      <c r="R98" s="13">
        <f>N98/L98*100</f>
        <v/>
      </c>
      <c r="S98" t="inlineStr">
        <is>
          <t>ok</t>
        </is>
      </c>
    </row>
    <row r="99">
      <c r="A99" t="inlineStr">
        <is>
          <t>R8 (FY2026)</t>
        </is>
      </c>
      <c r="B99" t="n">
        <v>479</v>
      </c>
      <c r="C99" t="inlineStr">
        <is>
          <t>森林所有者</t>
        </is>
      </c>
      <c r="D99" t="inlineStr">
        <is>
          <t>桃俣</t>
        </is>
      </c>
      <c r="E99" t="inlineStr">
        <is>
          <t>181-28</t>
        </is>
      </c>
      <c r="F99" t="inlineStr">
        <is>
          <t>88</t>
        </is>
      </c>
      <c r="G99" t="inlineStr">
        <is>
          <t>口</t>
        </is>
      </c>
      <c r="H99" t="inlineStr">
        <is>
          <t>(34.35)ノチ</t>
        </is>
      </c>
      <c r="I99" t="n">
        <v>2.2</v>
      </c>
      <c r="J99" t="inlineStr">
        <is>
          <t>スギ/ヒノキ</t>
        </is>
      </c>
      <c r="K99" t="n">
        <v>55</v>
      </c>
      <c r="L99" t="n">
        <v>565</v>
      </c>
      <c r="M99" t="inlineStr">
        <is>
          <t>Cut &amp; leave (伐捨)</t>
        </is>
      </c>
      <c r="N99" t="n">
        <v>193</v>
      </c>
      <c r="O99" t="n">
        <v>34</v>
      </c>
      <c r="P99" t="inlineStr"/>
      <c r="Q99" t="inlineStr">
        <is>
          <t>施業放置林整備事業</t>
        </is>
      </c>
      <c r="R99" s="13">
        <f>N99/L99*100</f>
        <v/>
      </c>
      <c r="S99" t="inlineStr">
        <is>
          <t>ok</t>
        </is>
      </c>
    </row>
    <row r="100">
      <c r="A100" t="inlineStr">
        <is>
          <t>R8 (FY2026)</t>
        </is>
      </c>
      <c r="B100" t="n">
        <v>480</v>
      </c>
      <c r="C100" t="inlineStr">
        <is>
          <t>森林所有者</t>
        </is>
      </c>
      <c r="D100" t="inlineStr">
        <is>
          <t>土屋原</t>
        </is>
      </c>
      <c r="E100" t="inlineStr">
        <is>
          <t>2336.2349-1.-2</t>
        </is>
      </c>
      <c r="F100" t="inlineStr">
        <is>
          <t>93</t>
        </is>
      </c>
      <c r="G100" t="inlineStr">
        <is>
          <t>へ</t>
        </is>
      </c>
      <c r="H100" t="inlineStr">
        <is>
          <t>22ノウチ</t>
        </is>
      </c>
      <c r="I100" t="n">
        <v>0.11</v>
      </c>
      <c r="J100" t="inlineStr">
        <is>
          <t>ヒノキ</t>
        </is>
      </c>
      <c r="K100" t="n">
        <v>53</v>
      </c>
      <c r="L100" t="n">
        <v>23</v>
      </c>
      <c r="M100" t="inlineStr">
        <is>
          <t>Cut &amp; leave (伐捨)</t>
        </is>
      </c>
      <c r="N100" t="n">
        <v>8</v>
      </c>
      <c r="O100" t="n">
        <v>34</v>
      </c>
      <c r="P100" t="inlineStr"/>
      <c r="Q100" t="inlineStr">
        <is>
          <t>施業放置林整備事業</t>
        </is>
      </c>
      <c r="R100" s="13">
        <f>N100/L100*100</f>
        <v/>
      </c>
      <c r="S100" t="inlineStr">
        <is>
          <t>species</t>
        </is>
      </c>
    </row>
    <row r="101">
      <c r="A101" t="inlineStr">
        <is>
          <t>R8 (FY2026)</t>
        </is>
      </c>
      <c r="B101" t="n">
        <v>481</v>
      </c>
      <c r="C101" t="inlineStr">
        <is>
          <t>森林所有者</t>
        </is>
      </c>
      <c r="D101" t="inlineStr">
        <is>
          <t>菅野</t>
        </is>
      </c>
      <c r="E101" t="inlineStr">
        <is>
          <t>99.100.101</t>
        </is>
      </c>
      <c r="F101" t="inlineStr">
        <is>
          <t>99</t>
        </is>
      </c>
      <c r="G101" t="inlineStr">
        <is>
          <t>八 ホ</t>
        </is>
      </c>
      <c r="H101" t="inlineStr">
        <is>
          <t>(29~33.36)/チ 6/チ</t>
        </is>
      </c>
      <c r="I101" t="n">
        <v>1.45</v>
      </c>
      <c r="J101" t="inlineStr">
        <is>
          <t>スギ/ヒノキ</t>
        </is>
      </c>
      <c r="K101" t="n">
        <v>55</v>
      </c>
      <c r="L101" t="n">
        <v>373</v>
      </c>
      <c r="M101" t="inlineStr">
        <is>
          <t>Cut &amp; leave (伐捨)</t>
        </is>
      </c>
      <c r="N101" t="n">
        <v>127</v>
      </c>
      <c r="O101" t="n">
        <v>34</v>
      </c>
      <c r="P101" t="inlineStr"/>
      <c r="Q101" t="inlineStr">
        <is>
          <t>施業放置林整備事業</t>
        </is>
      </c>
      <c r="R101" s="13">
        <f>N101/L101*100</f>
        <v/>
      </c>
      <c r="S101" t="inlineStr">
        <is>
          <t>ok</t>
        </is>
      </c>
    </row>
    <row r="102">
      <c r="A102" t="inlineStr">
        <is>
          <t>R8 (FY2026)</t>
        </is>
      </c>
      <c r="B102" t="n">
        <v>482</v>
      </c>
      <c r="C102" t="inlineStr">
        <is>
          <t>森林所有者</t>
        </is>
      </c>
      <c r="D102" t="inlineStr">
        <is>
          <t>菅野</t>
        </is>
      </c>
      <c r="E102" t="inlineStr">
        <is>
          <t>3657-96</t>
        </is>
      </c>
      <c r="F102" t="inlineStr">
        <is>
          <t>100</t>
        </is>
      </c>
      <c r="G102" t="inlineStr">
        <is>
          <t>口</t>
        </is>
      </c>
      <c r="H102" t="inlineStr">
        <is>
          <t>(3~12)ノウチ</t>
        </is>
      </c>
      <c r="I102" t="n">
        <v>1.61</v>
      </c>
      <c r="J102" t="inlineStr">
        <is>
          <t>スギ/ヒノキ</t>
        </is>
      </c>
      <c r="K102" t="n">
        <v>60</v>
      </c>
      <c r="L102" t="n">
        <v>515</v>
      </c>
      <c r="M102" t="inlineStr">
        <is>
          <t>Cut &amp; leave (伐捨)</t>
        </is>
      </c>
      <c r="N102" t="n">
        <v>176</v>
      </c>
      <c r="O102" t="n">
        <v>34</v>
      </c>
      <c r="P102" t="inlineStr"/>
      <c r="Q102" t="inlineStr">
        <is>
          <t>施業放置林整備事業</t>
        </is>
      </c>
      <c r="R102" s="13">
        <f>N102/L102*100</f>
        <v/>
      </c>
      <c r="S102" t="inlineStr">
        <is>
          <t>ok</t>
        </is>
      </c>
    </row>
    <row r="103">
      <c r="A103" t="inlineStr">
        <is>
          <t>R8 (FY2026)</t>
        </is>
      </c>
      <c r="B103" t="n">
        <v>483</v>
      </c>
      <c r="C103" t="inlineStr">
        <is>
          <t>森林所有者</t>
        </is>
      </c>
      <c r="D103" t="inlineStr">
        <is>
          <t>菅野</t>
        </is>
      </c>
      <c r="E103" t="inlineStr">
        <is>
          <t>3657-165</t>
        </is>
      </c>
      <c r="F103" t="inlineStr">
        <is>
          <t>100</t>
        </is>
      </c>
      <c r="G103" t="inlineStr">
        <is>
          <t>口</t>
        </is>
      </c>
      <c r="H103" t="inlineStr">
        <is>
          <t>43ノウチ</t>
        </is>
      </c>
      <c r="I103" t="n">
        <v>0.31</v>
      </c>
      <c r="J103" t="inlineStr">
        <is>
          <t>スギ/ヒノキ</t>
        </is>
      </c>
      <c r="K103" t="n">
        <v>56</v>
      </c>
      <c r="L103" t="n">
        <v>99</v>
      </c>
      <c r="M103" t="inlineStr">
        <is>
          <t>Cut &amp; leave (伐捨)</t>
        </is>
      </c>
      <c r="N103" t="n">
        <v>34</v>
      </c>
      <c r="O103" t="n">
        <v>34</v>
      </c>
      <c r="P103" t="inlineStr"/>
      <c r="Q103" t="inlineStr">
        <is>
          <t>施業放置林整備事業</t>
        </is>
      </c>
      <c r="R103" s="13">
        <f>N103/L103*100</f>
        <v/>
      </c>
      <c r="S103" t="inlineStr">
        <is>
          <t>ok</t>
        </is>
      </c>
    </row>
    <row r="104">
      <c r="A104" t="inlineStr">
        <is>
          <t>R8 (FY2026)</t>
        </is>
      </c>
      <c r="B104" t="n">
        <v>484</v>
      </c>
      <c r="C104" t="inlineStr">
        <is>
          <t>森林所有者</t>
        </is>
      </c>
      <c r="D104" t="inlineStr">
        <is>
          <t>菅野</t>
        </is>
      </c>
      <c r="E104" t="inlineStr">
        <is>
          <t>3657-166</t>
        </is>
      </c>
      <c r="F104" t="inlineStr">
        <is>
          <t>100</t>
        </is>
      </c>
      <c r="G104" t="inlineStr">
        <is>
          <t>八</t>
        </is>
      </c>
      <c r="H104" t="inlineStr">
        <is>
          <t>(1.2)ノウチ</t>
        </is>
      </c>
      <c r="I104" t="n">
        <v>0.14</v>
      </c>
      <c r="J104" t="inlineStr">
        <is>
          <t>スギ/ヒノキ</t>
        </is>
      </c>
      <c r="K104" t="n">
        <v>61</v>
      </c>
      <c r="L104" t="n">
        <v>47</v>
      </c>
      <c r="M104" t="inlineStr">
        <is>
          <t>Cut &amp; leave (伐捨)</t>
        </is>
      </c>
      <c r="N104" t="n">
        <v>17</v>
      </c>
      <c r="O104" t="n">
        <v>34</v>
      </c>
      <c r="P104" t="inlineStr"/>
      <c r="Q104" t="inlineStr">
        <is>
          <t>施業放置林整備事業</t>
        </is>
      </c>
      <c r="R104" s="13">
        <f>N104/L104*100</f>
        <v/>
      </c>
      <c r="S104" t="inlineStr">
        <is>
          <t>ok</t>
        </is>
      </c>
    </row>
    <row r="105">
      <c r="A105" t="inlineStr">
        <is>
          <t>R8 (FY2026)</t>
        </is>
      </c>
      <c r="B105" t="n">
        <v>485</v>
      </c>
      <c r="C105" t="inlineStr">
        <is>
          <t>森林所有者</t>
        </is>
      </c>
      <c r="D105" t="inlineStr">
        <is>
          <t>神末</t>
        </is>
      </c>
      <c r="E105" t="inlineStr">
        <is>
          <t>78-63.-78</t>
        </is>
      </c>
      <c r="F105" t="inlineStr">
        <is>
          <t>103</t>
        </is>
      </c>
      <c r="G105" t="inlineStr">
        <is>
          <t>又</t>
        </is>
      </c>
      <c r="H105" t="inlineStr">
        <is>
          <t>12ノウチ</t>
        </is>
      </c>
      <c r="I105" t="n">
        <v>0.73</v>
      </c>
      <c r="J105" t="inlineStr">
        <is>
          <t>スギ/ヒノキ</t>
        </is>
      </c>
      <c r="K105" t="n">
        <v>83</v>
      </c>
      <c r="L105" t="n">
        <v>247</v>
      </c>
      <c r="M105" t="inlineStr">
        <is>
          <t>Cut &amp; leave (伐捨)</t>
        </is>
      </c>
      <c r="N105" t="n">
        <v>84</v>
      </c>
      <c r="O105" t="n">
        <v>34</v>
      </c>
      <c r="P105" t="inlineStr"/>
      <c r="Q105" t="inlineStr">
        <is>
          <t>施業放置林整備事業</t>
        </is>
      </c>
      <c r="R105" s="13">
        <f>N105/L105*100</f>
        <v/>
      </c>
      <c r="S105" t="inlineStr">
        <is>
          <t>ok</t>
        </is>
      </c>
    </row>
    <row r="106">
      <c r="A106" t="inlineStr">
        <is>
          <t>R8 (FY2026)</t>
        </is>
      </c>
      <c r="B106" t="n">
        <v>491</v>
      </c>
      <c r="C106" t="inlineStr">
        <is>
          <t>森林所有者</t>
        </is>
      </c>
      <c r="D106" t="inlineStr">
        <is>
          <t>神末</t>
        </is>
      </c>
      <c r="E106" t="inlineStr">
        <is>
          <t>1810-31</t>
        </is>
      </c>
      <c r="F106" t="inlineStr">
        <is>
          <t>22</t>
        </is>
      </c>
      <c r="G106" t="inlineStr">
        <is>
          <t>千</t>
        </is>
      </c>
      <c r="H106" t="inlineStr">
        <is>
          <t>(1.2.3) チ</t>
        </is>
      </c>
      <c r="I106" t="n">
        <v>17.17</v>
      </c>
      <c r="J106" t="inlineStr">
        <is>
          <t>スギ/ヒノキ</t>
        </is>
      </c>
      <c r="K106" t="n">
        <v>59</v>
      </c>
      <c r="L106" t="n">
        <v>5494</v>
      </c>
      <c r="M106" t="inlineStr">
        <is>
          <t>Extracted (搬出)</t>
        </is>
      </c>
      <c r="N106" t="n">
        <v>1099</v>
      </c>
      <c r="O106" t="n">
        <v>20</v>
      </c>
      <c r="P106" t="inlineStr">
        <is>
          <t>希望</t>
        </is>
      </c>
      <c r="Q106" t="inlineStr">
        <is>
          <t>美しい森林づくり基盤整備事業</t>
        </is>
      </c>
      <c r="R106" s="13">
        <f>N106/L106*100</f>
        <v/>
      </c>
      <c r="S106" t="inlineStr">
        <is>
          <t>ok</t>
        </is>
      </c>
    </row>
    <row r="107">
      <c r="A107" t="inlineStr">
        <is>
          <t>R8 (FY2026)</t>
        </is>
      </c>
      <c r="B107" t="n">
        <v>492</v>
      </c>
      <c r="C107" t="inlineStr">
        <is>
          <t>森林所有者</t>
        </is>
      </c>
      <c r="D107" t="inlineStr">
        <is>
          <t>菅野</t>
        </is>
      </c>
      <c r="E107" t="inlineStr">
        <is>
          <t>3657-264</t>
        </is>
      </c>
      <c r="F107" t="inlineStr">
        <is>
          <t>101</t>
        </is>
      </c>
      <c r="G107" t="inlineStr">
        <is>
          <t>ホ</t>
        </is>
      </c>
      <c r="H107" t="inlineStr">
        <is>
          <t>(1.2) ノチ</t>
        </is>
      </c>
      <c r="I107" t="n">
        <v>1.4</v>
      </c>
      <c r="J107" t="inlineStr">
        <is>
          <t>スギ/ヒノキ</t>
        </is>
      </c>
      <c r="K107" t="n">
        <v>58</v>
      </c>
      <c r="L107" t="n">
        <v>448</v>
      </c>
      <c r="M107" t="inlineStr">
        <is>
          <t>Extracted (搬出)</t>
        </is>
      </c>
      <c r="N107" t="n">
        <v>90</v>
      </c>
      <c r="O107" t="n">
        <v>20</v>
      </c>
      <c r="P107" t="inlineStr">
        <is>
          <t>希望</t>
        </is>
      </c>
      <c r="Q107" t="inlineStr">
        <is>
          <t>美しい森林づくり基盤整備事業</t>
        </is>
      </c>
      <c r="R107" s="13">
        <f>N107/L107*100</f>
        <v/>
      </c>
      <c r="S107" t="inlineStr">
        <is>
          <t>ok</t>
        </is>
      </c>
    </row>
    <row r="108">
      <c r="A108" t="inlineStr">
        <is>
          <t>R8 (FY2026)</t>
        </is>
      </c>
      <c r="B108" t="n">
        <v>493</v>
      </c>
      <c r="C108" t="inlineStr">
        <is>
          <t>森林所有者</t>
        </is>
      </c>
      <c r="D108" t="inlineStr">
        <is>
          <t>土屋原</t>
        </is>
      </c>
      <c r="E108" t="inlineStr">
        <is>
          <t>3279-5</t>
        </is>
      </c>
      <c r="F108" t="inlineStr">
        <is>
          <t>57</t>
        </is>
      </c>
      <c r="G108" t="inlineStr">
        <is>
          <t>八</t>
        </is>
      </c>
      <c r="H108" t="inlineStr">
        <is>
          <t>2ノウチ</t>
        </is>
      </c>
      <c r="I108" t="n">
        <v>0.5</v>
      </c>
      <c r="J108" t="inlineStr">
        <is>
          <t>スギ/ヒノキ</t>
        </is>
      </c>
      <c r="K108" t="n">
        <v>60</v>
      </c>
      <c r="L108" t="n">
        <v>160</v>
      </c>
      <c r="M108" t="inlineStr">
        <is>
          <t>Cut &amp; leave (伐捨)</t>
        </is>
      </c>
      <c r="N108" t="n">
        <v>32</v>
      </c>
      <c r="O108" t="n">
        <v>20</v>
      </c>
      <c r="P108" t="inlineStr">
        <is>
          <t>希望</t>
        </is>
      </c>
      <c r="Q108" t="inlineStr">
        <is>
          <t>美しい森林づくり基盤整備事業</t>
        </is>
      </c>
      <c r="R108" s="13">
        <f>N108/L108*100</f>
        <v/>
      </c>
      <c r="S108" t="inlineStr">
        <is>
          <t>ok</t>
        </is>
      </c>
    </row>
    <row r="109">
      <c r="A109" t="inlineStr">
        <is>
          <t>R8 (FY2026)</t>
        </is>
      </c>
      <c r="B109" t="n">
        <v>494</v>
      </c>
      <c r="C109" t="inlineStr">
        <is>
          <t>森林所有者</t>
        </is>
      </c>
      <c r="D109" t="inlineStr">
        <is>
          <t>神末</t>
        </is>
      </c>
      <c r="E109" t="inlineStr">
        <is>
          <t>3059-631</t>
        </is>
      </c>
      <c r="F109" t="inlineStr">
        <is>
          <t>8</t>
        </is>
      </c>
      <c r="G109" t="inlineStr">
        <is>
          <t>へ</t>
        </is>
      </c>
      <c r="H109" t="inlineStr">
        <is>
          <t>4ノウチ</t>
        </is>
      </c>
      <c r="I109" t="n">
        <v>0.3</v>
      </c>
      <c r="J109" t="inlineStr">
        <is>
          <t>スギ/ヒノキ</t>
        </is>
      </c>
      <c r="K109" t="n">
        <v>55</v>
      </c>
      <c r="L109" t="n">
        <v>77</v>
      </c>
      <c r="M109" t="inlineStr">
        <is>
          <t>Extracted (搬出)</t>
        </is>
      </c>
      <c r="N109" t="n">
        <v>16</v>
      </c>
      <c r="O109" t="n">
        <v>20</v>
      </c>
      <c r="P109" t="inlineStr">
        <is>
          <t>希望</t>
        </is>
      </c>
      <c r="Q109" t="inlineStr">
        <is>
          <t>美しい森林づくり基盤整備事業</t>
        </is>
      </c>
      <c r="R109" s="13">
        <f>N109/L109*100</f>
        <v/>
      </c>
      <c r="S109" t="inlineStr">
        <is>
          <t>ok</t>
        </is>
      </c>
    </row>
    <row r="110">
      <c r="A110" t="inlineStr">
        <is>
          <t>R8 (FY2026)</t>
        </is>
      </c>
      <c r="B110" t="n">
        <v>495</v>
      </c>
      <c r="C110" t="inlineStr">
        <is>
          <t>森林所有者</t>
        </is>
      </c>
      <c r="D110" t="inlineStr">
        <is>
          <t>神末</t>
        </is>
      </c>
      <c r="E110" t="inlineStr">
        <is>
          <t>4862</t>
        </is>
      </c>
      <c r="F110" t="inlineStr">
        <is>
          <t>4</t>
        </is>
      </c>
      <c r="G110" t="inlineStr">
        <is>
          <t>下</t>
        </is>
      </c>
      <c r="H110" t="inlineStr">
        <is>
          <t>(8.9) /チ</t>
        </is>
      </c>
      <c r="I110" t="n">
        <v>0.4</v>
      </c>
      <c r="J110" t="inlineStr">
        <is>
          <t>スギ/ヒノキ</t>
        </is>
      </c>
      <c r="K110" t="n">
        <v>59</v>
      </c>
      <c r="L110" t="n">
        <v>128</v>
      </c>
      <c r="M110" t="inlineStr">
        <is>
          <t>Extracted (搬出)</t>
        </is>
      </c>
      <c r="N110" t="n">
        <v>26</v>
      </c>
      <c r="O110" t="n">
        <v>20</v>
      </c>
      <c r="P110" t="inlineStr">
        <is>
          <t>希望</t>
        </is>
      </c>
      <c r="Q110" t="inlineStr">
        <is>
          <t>美しい森林づくり基盤整備事業</t>
        </is>
      </c>
      <c r="R110" s="13">
        <f>N110/L110*100</f>
        <v/>
      </c>
      <c r="S110" t="inlineStr">
        <is>
          <t>ok</t>
        </is>
      </c>
    </row>
    <row r="111">
      <c r="A111" t="inlineStr">
        <is>
          <t>R8 (FY2026)</t>
        </is>
      </c>
      <c r="B111" t="n">
        <v>500</v>
      </c>
      <c r="C111" t="inlineStr">
        <is>
          <t>森林所有者</t>
        </is>
      </c>
      <c r="D111" t="inlineStr">
        <is>
          <t>土屋原</t>
        </is>
      </c>
      <c r="E111" t="inlineStr">
        <is>
          <t>2499-1,2500</t>
        </is>
      </c>
      <c r="F111" t="inlineStr">
        <is>
          <t>51</t>
        </is>
      </c>
      <c r="G111" t="inlineStr">
        <is>
          <t>八</t>
        </is>
      </c>
      <c r="H111" t="inlineStr">
        <is>
          <t>20ノウチ</t>
        </is>
      </c>
      <c r="I111" t="n">
        <v>0.22</v>
      </c>
      <c r="J111" t="inlineStr">
        <is>
          <t>スギ/ヒノキ</t>
        </is>
      </c>
      <c r="K111" t="n">
        <v>50</v>
      </c>
      <c r="L111" t="n">
        <v>57</v>
      </c>
      <c r="M111" t="inlineStr">
        <is>
          <t>Extracted (搬出)</t>
        </is>
      </c>
      <c r="N111" t="n">
        <v>12</v>
      </c>
      <c r="O111" t="n">
        <v>20</v>
      </c>
      <c r="P111" t="inlineStr">
        <is>
          <t>希望</t>
        </is>
      </c>
      <c r="Q111" t="inlineStr">
        <is>
          <t>美しい森林づくり基盤整備事業</t>
        </is>
      </c>
      <c r="R111" s="13">
        <f>N111/L111*100</f>
        <v/>
      </c>
      <c r="S111" t="inlineStr">
        <is>
          <t>ok</t>
        </is>
      </c>
    </row>
    <row r="112">
      <c r="A112" t="inlineStr">
        <is>
          <t>R8 (FY2026)</t>
        </is>
      </c>
      <c r="B112" t="n">
        <v>501</v>
      </c>
      <c r="C112" t="inlineStr">
        <is>
          <t>森林所有者</t>
        </is>
      </c>
      <c r="D112" t="inlineStr">
        <is>
          <t>土屋原</t>
        </is>
      </c>
      <c r="E112" t="inlineStr">
        <is>
          <t>2523~2528,2540~2545</t>
        </is>
      </c>
      <c r="F112" t="inlineStr">
        <is>
          <t>51</t>
        </is>
      </c>
      <c r="G112" t="inlineStr">
        <is>
          <t>二</t>
        </is>
      </c>
      <c r="H112" t="inlineStr">
        <is>
          <t>2,3,4/ウチ</t>
        </is>
      </c>
      <c r="I112" t="n">
        <v>5.43</v>
      </c>
      <c r="J112" t="inlineStr">
        <is>
          <t>スギ/ヒノキ</t>
        </is>
      </c>
      <c r="K112" t="n">
        <v>64</v>
      </c>
      <c r="L112" t="n">
        <v>1835</v>
      </c>
      <c r="M112" t="inlineStr">
        <is>
          <t>Extracted (搬出)</t>
        </is>
      </c>
      <c r="N112" t="n">
        <v>368</v>
      </c>
      <c r="O112" t="n">
        <v>20</v>
      </c>
      <c r="P112" t="inlineStr">
        <is>
          <t>希望</t>
        </is>
      </c>
      <c r="Q112" t="inlineStr">
        <is>
          <t>美しい森林づくり基盤整備事業</t>
        </is>
      </c>
      <c r="R112" s="13">
        <f>N112/L112*100</f>
        <v/>
      </c>
      <c r="S112" t="inlineStr">
        <is>
          <t>ok</t>
        </is>
      </c>
    </row>
    <row r="113">
      <c r="A113" t="inlineStr">
        <is>
          <t>R8 (FY2026)</t>
        </is>
      </c>
      <c r="B113" t="n">
        <v>502</v>
      </c>
      <c r="C113" t="inlineStr">
        <is>
          <t>森林所有者</t>
        </is>
      </c>
      <c r="D113" t="inlineStr">
        <is>
          <t>土屋原</t>
        </is>
      </c>
      <c r="E113" t="inlineStr">
        <is>
          <t>2540~2545</t>
        </is>
      </c>
      <c r="F113" t="inlineStr">
        <is>
          <t>51</t>
        </is>
      </c>
      <c r="G113" t="inlineStr">
        <is>
          <t>二</t>
        </is>
      </c>
      <c r="H113" t="inlineStr">
        <is>
          <t>5ノウチ</t>
        </is>
      </c>
      <c r="I113" t="n">
        <v>0.9</v>
      </c>
      <c r="J113" t="inlineStr">
        <is>
          <t>スギ/ヒノキ</t>
        </is>
      </c>
      <c r="K113" t="n">
        <v>65</v>
      </c>
      <c r="L113" t="n">
        <v>304</v>
      </c>
      <c r="M113" t="inlineStr">
        <is>
          <t>Extracted (搬出)</t>
        </is>
      </c>
      <c r="N113" t="n">
        <v>61</v>
      </c>
      <c r="O113" t="n">
        <v>20</v>
      </c>
      <c r="P113" t="inlineStr">
        <is>
          <t>希望</t>
        </is>
      </c>
      <c r="Q113" t="inlineStr">
        <is>
          <t>美しい森林づくり基盤整備事業</t>
        </is>
      </c>
      <c r="R113" s="13">
        <f>N113/L113*100</f>
        <v/>
      </c>
      <c r="S113" t="inlineStr">
        <is>
          <t>ok</t>
        </is>
      </c>
    </row>
    <row r="114">
      <c r="A114" t="inlineStr">
        <is>
          <t>R8 (FY2026)</t>
        </is>
      </c>
      <c r="B114" t="n">
        <v>503</v>
      </c>
      <c r="C114" t="inlineStr">
        <is>
          <t>森林所有者</t>
        </is>
      </c>
      <c r="D114" t="inlineStr">
        <is>
          <t>土屋原</t>
        </is>
      </c>
      <c r="E114" t="inlineStr">
        <is>
          <t>2540~2545</t>
        </is>
      </c>
      <c r="F114" t="inlineStr">
        <is>
          <t>51</t>
        </is>
      </c>
      <c r="G114" t="inlineStr">
        <is>
          <t>二</t>
        </is>
      </c>
      <c r="H114" t="inlineStr">
        <is>
          <t>6ノウチ</t>
        </is>
      </c>
      <c r="I114" t="n">
        <v>0.5</v>
      </c>
      <c r="J114" t="inlineStr">
        <is>
          <t>スギ/ヒノキ</t>
        </is>
      </c>
      <c r="K114" t="n">
        <v>88</v>
      </c>
      <c r="L114" t="n">
        <v>169</v>
      </c>
      <c r="M114" t="inlineStr">
        <is>
          <t>Extracted (搬出)</t>
        </is>
      </c>
      <c r="N114" t="n">
        <v>34</v>
      </c>
      <c r="O114" t="n">
        <v>20</v>
      </c>
      <c r="P114" t="inlineStr">
        <is>
          <t>希望</t>
        </is>
      </c>
      <c r="Q114" t="inlineStr">
        <is>
          <t>美しい森林づくり基盤整備事業</t>
        </is>
      </c>
      <c r="R114" s="13">
        <f>N114/L114*100</f>
        <v/>
      </c>
      <c r="S114" t="inlineStr">
        <is>
          <t>ok</t>
        </is>
      </c>
    </row>
  </sheetData>
  <autoFilter ref="A1:S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8" customWidth="1" min="1" max="1"/>
    <col width="90" customWidth="1" min="3" max="3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Source / note</t>
        </is>
      </c>
    </row>
    <row r="2">
      <c r="A2" t="inlineStr">
        <is>
          <t>Dry density, sugi (t/m³)</t>
        </is>
      </c>
      <c r="B2" t="n">
        <v>0.314</v>
      </c>
      <c r="C2" t="inlineStr">
        <is>
          <t>Forest Twin density, from mitsue_50kwe_prototype_fuel_demand.md</t>
        </is>
      </c>
    </row>
    <row r="3">
      <c r="A3" t="inlineStr">
        <is>
          <t>Share of thinning vol usable as CHP chip fuel</t>
        </is>
      </c>
      <c r="B3" s="14" t="n">
        <v>0.3</v>
      </c>
      <c r="C3" t="inlineStr">
        <is>
          <t>ASSUMPTION - tops, bent/small stems, low-grade; adjust after talking to the coop</t>
        </is>
      </c>
    </row>
    <row r="4">
      <c r="A4" t="inlineStr">
        <is>
          <t>Share of cut-&amp;-leave wood that can be recovered</t>
        </is>
      </c>
      <c r="B4" s="14" t="n">
        <v>0.3</v>
      </c>
      <c r="C4" t="inlineStr">
        <is>
          <t>ASSUMPTION - slope/access/cost; cut-&amp;-leave wood is not extracted today</t>
        </is>
      </c>
    </row>
    <row r="5">
      <c r="A5" t="inlineStr">
        <is>
          <t>CHP demand low (t dry/yr)</t>
        </is>
      </c>
      <c r="B5" t="n">
        <v>450</v>
      </c>
      <c r="C5" t="inlineStr">
        <is>
          <t>50 kWe, 24 h; same doc, planning figure</t>
        </is>
      </c>
    </row>
    <row r="6">
      <c r="A6" t="inlineStr">
        <is>
          <t>CHP demand high (t dry/yr)</t>
        </is>
      </c>
      <c r="B6" t="n">
        <v>600</v>
      </c>
      <c r="C6" t="inlineStr">
        <is>
          <t>same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  <col width="28" customWidth="1" min="4" max="4"/>
    <col width="8" customWidth="1" min="5" max="5"/>
    <col width="8" customWidth="1" min="6" max="6"/>
    <col width="6" customWidth="1" min="7" max="7"/>
    <col width="11" customWidth="1" min="8" max="8"/>
    <col width="20" customWidth="1" min="9" max="9"/>
    <col width="30" customWidth="1" min="10" max="10"/>
    <col width="12" customWidth="1" min="11" max="11"/>
  </cols>
  <sheetData>
    <row r="1">
      <c r="A1" s="6" t="inlineStr">
        <is>
          <t>Parcels ranked by thinning volume (≥100 m³) - largest first. Check ownership/access before anything else. Cut &amp; leave = wood is currently left in forest.</t>
        </is>
      </c>
    </row>
    <row r="2">
      <c r="A2" s="11" t="inlineStr">
        <is>
          <t>Plan year</t>
        </is>
      </c>
      <c r="B2" s="11" t="inlineStr">
        <is>
          <t>No.</t>
        </is>
      </c>
      <c r="C2" s="11" t="inlineStr">
        <is>
          <t>Oaza</t>
        </is>
      </c>
      <c r="D2" s="11" t="inlineStr">
        <is>
          <t>Chiban</t>
        </is>
      </c>
      <c r="E2" s="11" t="inlineStr">
        <is>
          <t>Rinban</t>
        </is>
      </c>
      <c r="F2" s="11" t="inlineStr">
        <is>
          <t>Area ha</t>
        </is>
      </c>
      <c r="G2" s="11" t="inlineStr">
        <is>
          <t>Age</t>
        </is>
      </c>
      <c r="H2" s="11" t="inlineStr">
        <is>
          <t>Thinning m³</t>
        </is>
      </c>
      <c r="I2" s="11" t="inlineStr">
        <is>
          <t>Method</t>
        </is>
      </c>
      <c r="J2" s="11" t="inlineStr">
        <is>
          <t>Program</t>
        </is>
      </c>
      <c r="K2" s="11" t="inlineStr">
        <is>
          <t>Dry t if all chipped</t>
        </is>
      </c>
    </row>
    <row r="3">
      <c r="A3" t="inlineStr">
        <is>
          <t>R6 (FY2024)</t>
        </is>
      </c>
      <c r="B3" t="n">
        <v>314</v>
      </c>
      <c r="C3" t="inlineStr">
        <is>
          <t>菅野</t>
        </is>
      </c>
      <c r="D3" t="inlineStr">
        <is>
          <t>(1068-8.-63.-76.-87.-97)/チ</t>
        </is>
      </c>
      <c r="E3" t="inlineStr">
        <is>
          <t>39</t>
        </is>
      </c>
      <c r="F3" t="n">
        <v>13.4</v>
      </c>
      <c r="G3" t="n">
        <v>52</v>
      </c>
      <c r="H3" t="n">
        <v>1171</v>
      </c>
      <c r="I3" t="inlineStr">
        <is>
          <t>Cut &amp; leave (伐捨)</t>
        </is>
      </c>
      <c r="J3" t="inlineStr">
        <is>
          <t>施業放置林整備事業</t>
        </is>
      </c>
      <c r="K3" s="15">
        <f>H3*Assumptions!$B$2</f>
        <v/>
      </c>
    </row>
    <row r="4">
      <c r="A4" t="inlineStr">
        <is>
          <t>R8 (FY2026)</t>
        </is>
      </c>
      <c r="B4" t="n">
        <v>491</v>
      </c>
      <c r="C4" t="inlineStr">
        <is>
          <t>神末</t>
        </is>
      </c>
      <c r="D4" t="inlineStr">
        <is>
          <t>1810-31</t>
        </is>
      </c>
      <c r="E4" t="inlineStr">
        <is>
          <t>22</t>
        </is>
      </c>
      <c r="F4" t="n">
        <v>17.17</v>
      </c>
      <c r="G4" t="n">
        <v>59</v>
      </c>
      <c r="H4" t="n">
        <v>1099</v>
      </c>
      <c r="I4" t="inlineStr">
        <is>
          <t>Extracted (搬出)</t>
        </is>
      </c>
      <c r="J4" t="inlineStr">
        <is>
          <t>美しい森林づくり基盤整備事業</t>
        </is>
      </c>
      <c r="K4" s="15">
        <f>H4*Assumptions!$B$2</f>
        <v/>
      </c>
    </row>
    <row r="5">
      <c r="A5" t="inlineStr">
        <is>
          <t>R6 (FY2024)</t>
        </is>
      </c>
      <c r="B5" t="n">
        <v>315</v>
      </c>
      <c r="C5" t="inlineStr">
        <is>
          <t>菅野</t>
        </is>
      </c>
      <c r="D5" t="inlineStr">
        <is>
          <t>1068-63.-76</t>
        </is>
      </c>
      <c r="E5" t="inlineStr">
        <is>
          <t>39</t>
        </is>
      </c>
      <c r="F5" t="n">
        <v>9.08</v>
      </c>
      <c r="G5" t="n">
        <v>52</v>
      </c>
      <c r="H5" t="n">
        <v>794</v>
      </c>
      <c r="I5" t="inlineStr">
        <is>
          <t>Cut &amp; leave (伐捨)</t>
        </is>
      </c>
      <c r="J5" t="inlineStr">
        <is>
          <t>施業放置林整備事業</t>
        </is>
      </c>
      <c r="K5" s="15">
        <f>H5*Assumptions!$B$2</f>
        <v/>
      </c>
    </row>
    <row r="6">
      <c r="A6" t="inlineStr">
        <is>
          <t>R8 (FY2026)</t>
        </is>
      </c>
      <c r="B6" t="n">
        <v>466</v>
      </c>
      <c r="C6" t="inlineStr">
        <is>
          <t>菅野</t>
        </is>
      </c>
      <c r="D6" t="inlineStr">
        <is>
          <t>1223-20</t>
        </is>
      </c>
      <c r="E6" t="inlineStr">
        <is>
          <t>36</t>
        </is>
      </c>
      <c r="F6" t="n">
        <v>6.35</v>
      </c>
      <c r="G6" t="n">
        <v>76</v>
      </c>
      <c r="H6" t="n">
        <v>730</v>
      </c>
      <c r="I6" t="inlineStr">
        <is>
          <t>Cut &amp; leave (伐捨)</t>
        </is>
      </c>
      <c r="J6" t="inlineStr">
        <is>
          <t>施業放置林整備事業</t>
        </is>
      </c>
      <c r="K6" s="15">
        <f>H6*Assumptions!$B$2</f>
        <v/>
      </c>
    </row>
    <row r="7">
      <c r="A7" t="inlineStr">
        <is>
          <t>R6 (FY2024)</t>
        </is>
      </c>
      <c r="B7" t="n">
        <v>313</v>
      </c>
      <c r="C7" t="inlineStr">
        <is>
          <t>菅野</t>
        </is>
      </c>
      <c r="D7" t="inlineStr">
        <is>
          <t>(1068-8.-63.-76.-87.-97)/チ</t>
        </is>
      </c>
      <c r="E7" t="inlineStr">
        <is>
          <t>39</t>
        </is>
      </c>
      <c r="F7" t="n">
        <v>7.81</v>
      </c>
      <c r="G7" t="n">
        <v>52</v>
      </c>
      <c r="H7" t="n">
        <v>683</v>
      </c>
      <c r="I7" t="inlineStr">
        <is>
          <t>Cut &amp; leave (伐捨)</t>
        </is>
      </c>
      <c r="J7" t="inlineStr">
        <is>
          <t>施業放置林整備事業</t>
        </is>
      </c>
      <c r="K7" s="15">
        <f>H7*Assumptions!$B$2</f>
        <v/>
      </c>
    </row>
    <row r="8">
      <c r="A8" t="inlineStr">
        <is>
          <t>R6 (FY2024)</t>
        </is>
      </c>
      <c r="B8" t="n">
        <v>351</v>
      </c>
      <c r="C8" t="inlineStr">
        <is>
          <t>神末</t>
        </is>
      </c>
      <c r="D8" t="inlineStr">
        <is>
          <t>1810-1</t>
        </is>
      </c>
      <c r="E8" t="inlineStr">
        <is>
          <t>22</t>
        </is>
      </c>
      <c r="F8" t="n">
        <v>9.92</v>
      </c>
      <c r="G8" t="n">
        <v>67</v>
      </c>
      <c r="H8" t="n">
        <v>671</v>
      </c>
      <c r="I8" t="inlineStr">
        <is>
          <t>Cut &amp; leave (伐捨)</t>
        </is>
      </c>
      <c r="J8" t="inlineStr">
        <is>
          <t>美しい森林づくり基盤整備事業</t>
        </is>
      </c>
      <c r="K8" s="15">
        <f>H8*Assumptions!$B$2</f>
        <v/>
      </c>
    </row>
    <row r="9">
      <c r="A9" t="inlineStr">
        <is>
          <t>R7 (FY2025)</t>
        </is>
      </c>
      <c r="B9" t="n">
        <v>412</v>
      </c>
      <c r="C9" t="inlineStr">
        <is>
          <t>神末</t>
        </is>
      </c>
      <c r="D9" t="inlineStr">
        <is>
          <t>3059-334.-335</t>
        </is>
      </c>
      <c r="E9" t="inlineStr"/>
      <c r="F9" t="n">
        <v>5.27</v>
      </c>
      <c r="G9" t="n">
        <v>87</v>
      </c>
      <c r="H9" t="n">
        <v>606</v>
      </c>
      <c r="I9" t="inlineStr">
        <is>
          <t>Cut &amp; leave (伐捨)</t>
        </is>
      </c>
      <c r="J9" t="inlineStr">
        <is>
          <t>施業放置林整備事業</t>
        </is>
      </c>
      <c r="K9" s="15">
        <f>H9*Assumptions!$B$2</f>
        <v/>
      </c>
    </row>
    <row r="10">
      <c r="A10" t="inlineStr">
        <is>
          <t>R7 (FY2025)</t>
        </is>
      </c>
      <c r="B10" t="n">
        <v>404</v>
      </c>
      <c r="C10" t="inlineStr">
        <is>
          <t>神末</t>
        </is>
      </c>
      <c r="D10" t="inlineStr">
        <is>
          <t>2267.2258-1.-2 2264.2265.2179-162.-163.</t>
        </is>
      </c>
      <c r="E10" t="inlineStr">
        <is>
          <t>14</t>
        </is>
      </c>
      <c r="F10" t="n">
        <v>4.98</v>
      </c>
      <c r="G10" t="n">
        <v>76</v>
      </c>
      <c r="H10" t="n">
        <v>573</v>
      </c>
      <c r="I10" t="inlineStr">
        <is>
          <t>Cut &amp; leave (伐捨)</t>
        </is>
      </c>
      <c r="J10" t="inlineStr">
        <is>
          <t>施業放置林整備事業</t>
        </is>
      </c>
      <c r="K10" s="15">
        <f>H10*Assumptions!$B$2</f>
        <v/>
      </c>
    </row>
    <row r="11">
      <c r="A11" t="inlineStr">
        <is>
          <t>R7 (FY2025)</t>
        </is>
      </c>
      <c r="B11" t="n">
        <v>401</v>
      </c>
      <c r="C11" t="inlineStr">
        <is>
          <t>神末</t>
        </is>
      </c>
      <c r="D11" t="inlineStr">
        <is>
          <t>3059-336</t>
        </is>
      </c>
      <c r="E11" t="inlineStr">
        <is>
          <t>10</t>
        </is>
      </c>
      <c r="F11" t="n">
        <v>7.78</v>
      </c>
      <c r="G11" t="n">
        <v>31</v>
      </c>
      <c r="H11" t="n">
        <v>548</v>
      </c>
      <c r="I11" t="inlineStr">
        <is>
          <t>Cut &amp; leave (伐捨)</t>
        </is>
      </c>
      <c r="J11" t="inlineStr">
        <is>
          <t>施業放置林整備事業</t>
        </is>
      </c>
      <c r="K11" s="15">
        <f>H11*Assumptions!$B$2</f>
        <v/>
      </c>
    </row>
    <row r="12">
      <c r="A12" t="inlineStr">
        <is>
          <t>R7 (FY2025)</t>
        </is>
      </c>
      <c r="B12" t="n">
        <v>405</v>
      </c>
      <c r="C12" t="inlineStr">
        <is>
          <t>神末</t>
        </is>
      </c>
      <c r="D12" t="inlineStr">
        <is>
          <t>2179-104.-252</t>
        </is>
      </c>
      <c r="E12" t="inlineStr">
        <is>
          <t>16</t>
        </is>
      </c>
      <c r="F12" t="n">
        <v>4.95</v>
      </c>
      <c r="G12" t="n">
        <v>58</v>
      </c>
      <c r="H12" t="n">
        <v>539</v>
      </c>
      <c r="I12" t="inlineStr">
        <is>
          <t>Cut &amp; leave (伐捨)</t>
        </is>
      </c>
      <c r="J12" t="inlineStr">
        <is>
          <t>施業放置林整備事業</t>
        </is>
      </c>
      <c r="K12" s="15">
        <f>H12*Assumptions!$B$2</f>
        <v/>
      </c>
    </row>
    <row r="13">
      <c r="A13" t="inlineStr">
        <is>
          <t>R7 (FY2025)</t>
        </is>
      </c>
      <c r="B13" t="n">
        <v>407</v>
      </c>
      <c r="C13" t="inlineStr">
        <is>
          <t>菅野</t>
        </is>
      </c>
      <c r="D13" t="inlineStr">
        <is>
          <t>2960-105.-106</t>
        </is>
      </c>
      <c r="E13" t="inlineStr">
        <is>
          <t>35</t>
        </is>
      </c>
      <c r="F13" t="n">
        <v>3.97</v>
      </c>
      <c r="G13" t="n">
        <v>63</v>
      </c>
      <c r="H13" t="n">
        <v>457</v>
      </c>
      <c r="I13" t="inlineStr">
        <is>
          <t>Cut &amp; leave (伐捨)</t>
        </is>
      </c>
      <c r="J13" t="inlineStr">
        <is>
          <t>施業放置林整備事業</t>
        </is>
      </c>
      <c r="K13" s="15">
        <f>H13*Assumptions!$B$2</f>
        <v/>
      </c>
    </row>
    <row r="14">
      <c r="A14" t="inlineStr">
        <is>
          <t>R8 (FY2026)</t>
        </is>
      </c>
      <c r="B14" t="n">
        <v>462</v>
      </c>
      <c r="C14" t="inlineStr">
        <is>
          <t>土屋原</t>
        </is>
      </c>
      <c r="D14" t="inlineStr">
        <is>
          <t>533</t>
        </is>
      </c>
      <c r="E14" t="inlineStr">
        <is>
          <t>69</t>
        </is>
      </c>
      <c r="F14" t="n">
        <v>3.79</v>
      </c>
      <c r="G14" t="n">
        <v>61</v>
      </c>
      <c r="H14" t="n">
        <v>436</v>
      </c>
      <c r="I14" t="inlineStr">
        <is>
          <t>Cut &amp; leave (伐捨)</t>
        </is>
      </c>
      <c r="J14" t="inlineStr">
        <is>
          <t>施業放置林整備事業</t>
        </is>
      </c>
      <c r="K14" s="15">
        <f>H14*Assumptions!$B$2</f>
        <v/>
      </c>
    </row>
    <row r="15">
      <c r="A15" t="inlineStr">
        <is>
          <t>R6 (FY2024)</t>
        </is>
      </c>
      <c r="B15" t="n">
        <v>320</v>
      </c>
      <c r="C15" t="inlineStr">
        <is>
          <t>土屋原</t>
        </is>
      </c>
      <c r="D15" t="inlineStr">
        <is>
          <t>2792-48.-49</t>
        </is>
      </c>
      <c r="E15" t="inlineStr">
        <is>
          <t>52</t>
        </is>
      </c>
      <c r="F15" t="n">
        <v>3.86</v>
      </c>
      <c r="G15" t="n">
        <v>59</v>
      </c>
      <c r="H15" t="n">
        <v>420</v>
      </c>
      <c r="I15" t="inlineStr">
        <is>
          <t>Cut &amp; leave (伐捨)</t>
        </is>
      </c>
      <c r="J15" t="inlineStr">
        <is>
          <t>施業放置林整備事業</t>
        </is>
      </c>
      <c r="K15" s="15">
        <f>H15*Assumptions!$B$2</f>
        <v/>
      </c>
    </row>
    <row r="16">
      <c r="A16" t="inlineStr">
        <is>
          <t>R8 (FY2026)</t>
        </is>
      </c>
      <c r="B16" t="n">
        <v>459</v>
      </c>
      <c r="C16" t="inlineStr">
        <is>
          <t>菅野</t>
        </is>
      </c>
      <c r="D16" t="inlineStr">
        <is>
          <t>964-47.-77</t>
        </is>
      </c>
      <c r="E16" t="inlineStr">
        <is>
          <t>48</t>
        </is>
      </c>
      <c r="F16" t="n">
        <v>3.54</v>
      </c>
      <c r="G16" t="n">
        <v>59</v>
      </c>
      <c r="H16" t="n">
        <v>386</v>
      </c>
      <c r="I16" t="inlineStr">
        <is>
          <t>Cut &amp; leave (伐捨)</t>
        </is>
      </c>
      <c r="J16" t="inlineStr">
        <is>
          <t>施業放置林整備事業</t>
        </is>
      </c>
      <c r="K16" s="15">
        <f>H16*Assumptions!$B$2</f>
        <v/>
      </c>
    </row>
    <row r="17">
      <c r="A17" t="inlineStr">
        <is>
          <t>R8 (FY2026)</t>
        </is>
      </c>
      <c r="B17" t="n">
        <v>501</v>
      </c>
      <c r="C17" t="inlineStr">
        <is>
          <t>土屋原</t>
        </is>
      </c>
      <c r="D17" t="inlineStr">
        <is>
          <t>2523~2528,2540~2545</t>
        </is>
      </c>
      <c r="E17" t="inlineStr">
        <is>
          <t>51</t>
        </is>
      </c>
      <c r="F17" t="n">
        <v>5.43</v>
      </c>
      <c r="G17" t="n">
        <v>64</v>
      </c>
      <c r="H17" t="n">
        <v>368</v>
      </c>
      <c r="I17" t="inlineStr">
        <is>
          <t>Extracted (搬出)</t>
        </is>
      </c>
      <c r="J17" t="inlineStr">
        <is>
          <t>美しい森林づくり基盤整備事業</t>
        </is>
      </c>
      <c r="K17" s="15">
        <f>H17*Assumptions!$B$2</f>
        <v/>
      </c>
    </row>
    <row r="18">
      <c r="A18" t="inlineStr">
        <is>
          <t>R6 (FY2024)</t>
        </is>
      </c>
      <c r="B18" t="n">
        <v>302</v>
      </c>
      <c r="C18" t="inlineStr">
        <is>
          <t>神末</t>
        </is>
      </c>
      <c r="D18" t="inlineStr">
        <is>
          <t>2179-86.-87</t>
        </is>
      </c>
      <c r="E18" t="inlineStr">
        <is>
          <t>15</t>
        </is>
      </c>
      <c r="F18" t="n">
        <v>3.82</v>
      </c>
      <c r="G18" t="n">
        <v>55</v>
      </c>
      <c r="H18" t="n">
        <v>334</v>
      </c>
      <c r="I18" t="inlineStr">
        <is>
          <t>Cut &amp; leave (伐捨)</t>
        </is>
      </c>
      <c r="J18" t="inlineStr">
        <is>
          <t>施業放置林整備事業</t>
        </is>
      </c>
      <c r="K18" s="15">
        <f>H18*Assumptions!$B$2</f>
        <v/>
      </c>
    </row>
    <row r="19">
      <c r="A19" t="inlineStr">
        <is>
          <t>R7 (FY2025)</t>
        </is>
      </c>
      <c r="B19" t="n">
        <v>409</v>
      </c>
      <c r="C19" t="inlineStr">
        <is>
          <t>菅野</t>
        </is>
      </c>
      <c r="D19" t="inlineStr">
        <is>
          <t>1032-29</t>
        </is>
      </c>
      <c r="E19" t="inlineStr">
        <is>
          <t>44</t>
        </is>
      </c>
      <c r="F19" t="n">
        <v>2.68</v>
      </c>
      <c r="G19" t="n">
        <v>59</v>
      </c>
      <c r="H19" t="n">
        <v>292</v>
      </c>
      <c r="I19" t="inlineStr">
        <is>
          <t>Cut &amp; leave (伐捨)</t>
        </is>
      </c>
      <c r="J19" t="inlineStr">
        <is>
          <t>施業放置林整備事業</t>
        </is>
      </c>
      <c r="K19" s="15">
        <f>H19*Assumptions!$B$2</f>
        <v/>
      </c>
    </row>
    <row r="20">
      <c r="A20" t="inlineStr">
        <is>
          <t>R6 (FY2024)</t>
        </is>
      </c>
      <c r="B20" t="n">
        <v>359</v>
      </c>
      <c r="C20" t="inlineStr">
        <is>
          <t>土屋原</t>
        </is>
      </c>
      <c r="D20" t="inlineStr">
        <is>
          <t>3278-1/ウチ</t>
        </is>
      </c>
      <c r="E20" t="inlineStr">
        <is>
          <t>56</t>
        </is>
      </c>
      <c r="F20" t="n">
        <v>4.2</v>
      </c>
      <c r="G20" t="n">
        <v>80</v>
      </c>
      <c r="H20" t="n">
        <v>284</v>
      </c>
      <c r="I20" t="inlineStr">
        <is>
          <t>Extracted (搬出)</t>
        </is>
      </c>
      <c r="J20" t="inlineStr">
        <is>
          <t>美しい森林づくり基盤整備事業</t>
        </is>
      </c>
      <c r="K20" s="15">
        <f>H20*Assumptions!$B$2</f>
        <v/>
      </c>
    </row>
    <row r="21">
      <c r="A21" t="inlineStr">
        <is>
          <t>R7 (FY2025)</t>
        </is>
      </c>
      <c r="B21" t="n">
        <v>435</v>
      </c>
      <c r="C21" t="inlineStr">
        <is>
          <t>菅野</t>
        </is>
      </c>
      <c r="D21" t="inlineStr">
        <is>
          <t>1970</t>
        </is>
      </c>
      <c r="E21" t="inlineStr">
        <is>
          <t>0c 95</t>
        </is>
      </c>
      <c r="F21" t="n">
        <v>2.61</v>
      </c>
      <c r="G21" t="n">
        <v>59</v>
      </c>
      <c r="H21" t="n">
        <v>284</v>
      </c>
      <c r="I21" t="inlineStr">
        <is>
          <t>Cut &amp; leave (伐捨)</t>
        </is>
      </c>
      <c r="J21" t="inlineStr">
        <is>
          <t>施業放置林整備事業</t>
        </is>
      </c>
      <c r="K21" s="15">
        <f>H21*Assumptions!$B$2</f>
        <v/>
      </c>
    </row>
    <row r="22">
      <c r="A22" t="inlineStr">
        <is>
          <t>R8 (FY2026)</t>
        </is>
      </c>
      <c r="B22" t="n">
        <v>473</v>
      </c>
      <c r="C22" t="inlineStr">
        <is>
          <t>菅野</t>
        </is>
      </c>
      <c r="D22" t="inlineStr">
        <is>
          <t>964-89.-90.-92.-93</t>
        </is>
      </c>
      <c r="E22" t="inlineStr">
        <is>
          <t>47</t>
        </is>
      </c>
      <c r="F22" t="n">
        <v>2.45</v>
      </c>
      <c r="G22" t="n">
        <v>68</v>
      </c>
      <c r="H22" t="n">
        <v>282</v>
      </c>
      <c r="I22" t="inlineStr">
        <is>
          <t>Cut &amp; leave (伐捨)</t>
        </is>
      </c>
      <c r="J22" t="inlineStr">
        <is>
          <t>施業放置林整備事業</t>
        </is>
      </c>
      <c r="K22" s="15">
        <f>H22*Assumptions!$B$2</f>
        <v/>
      </c>
    </row>
    <row r="23">
      <c r="A23" t="inlineStr">
        <is>
          <t>R6 (FY2024)</t>
        </is>
      </c>
      <c r="B23" t="n">
        <v>310</v>
      </c>
      <c r="C23" t="inlineStr">
        <is>
          <t>神末</t>
        </is>
      </c>
      <c r="D23" t="inlineStr">
        <is>
          <t>48.-114.-136.-137.-141.-143. 020</t>
        </is>
      </c>
      <c r="E23" t="inlineStr">
        <is>
          <t>30</t>
        </is>
      </c>
      <c r="F23" t="n">
        <v>2.41</v>
      </c>
      <c r="G23" t="n">
        <v>56</v>
      </c>
      <c r="H23" t="n">
        <v>263</v>
      </c>
      <c r="I23" t="inlineStr">
        <is>
          <t>Cut &amp; leave (伐捨)</t>
        </is>
      </c>
      <c r="J23" t="inlineStr">
        <is>
          <t>施業放置林整備事業</t>
        </is>
      </c>
      <c r="K23" s="15">
        <f>H23*Assumptions!$B$2</f>
        <v/>
      </c>
    </row>
    <row r="24">
      <c r="A24" t="inlineStr">
        <is>
          <t>R6 (FY2024)</t>
        </is>
      </c>
      <c r="B24" t="n">
        <v>306</v>
      </c>
      <c r="C24" t="inlineStr">
        <is>
          <t>神末</t>
        </is>
      </c>
      <c r="D24" t="inlineStr">
        <is>
          <t>1604.1623.1624</t>
        </is>
      </c>
      <c r="E24" t="inlineStr">
        <is>
          <t>28</t>
        </is>
      </c>
      <c r="F24" t="n">
        <v>2.39</v>
      </c>
      <c r="G24" t="n">
        <v>59</v>
      </c>
      <c r="H24" t="n">
        <v>261</v>
      </c>
      <c r="I24" t="inlineStr">
        <is>
          <t>Cut &amp; leave (伐捨)</t>
        </is>
      </c>
      <c r="J24" t="inlineStr">
        <is>
          <t>施業放置林整備事業</t>
        </is>
      </c>
      <c r="K24" s="15">
        <f>H24*Assumptions!$B$2</f>
        <v/>
      </c>
    </row>
    <row r="25">
      <c r="A25" t="inlineStr">
        <is>
          <t>R6 (FY2024)</t>
        </is>
      </c>
      <c r="B25" t="n">
        <v>321</v>
      </c>
      <c r="C25" t="inlineStr">
        <is>
          <t>土屋原</t>
        </is>
      </c>
      <c r="D25" t="inlineStr">
        <is>
          <t>2792-7.-86.-89</t>
        </is>
      </c>
      <c r="E25" t="inlineStr">
        <is>
          <t>523</t>
        </is>
      </c>
      <c r="F25" t="n">
        <v>2.24</v>
      </c>
      <c r="G25" t="n">
        <v>73</v>
      </c>
      <c r="H25" t="n">
        <v>258</v>
      </c>
      <c r="I25" t="inlineStr">
        <is>
          <t>Cut &amp; leave (伐捨)</t>
        </is>
      </c>
      <c r="J25" t="inlineStr">
        <is>
          <t>施業放置林整備事業</t>
        </is>
      </c>
      <c r="K25" s="15">
        <f>H25*Assumptions!$B$2</f>
        <v/>
      </c>
    </row>
    <row r="26">
      <c r="A26" t="inlineStr">
        <is>
          <t>R6 (FY2024)</t>
        </is>
      </c>
      <c r="B26" t="n">
        <v>332</v>
      </c>
      <c r="C26" t="inlineStr">
        <is>
          <t>桃俣</t>
        </is>
      </c>
      <c r="D26" t="inlineStr">
        <is>
          <t>1772-1-12-2</t>
        </is>
      </c>
      <c r="E26" t="inlineStr">
        <is>
          <t>82 83</t>
        </is>
      </c>
      <c r="F26" t="n">
        <v>2.94</v>
      </c>
      <c r="G26" t="n">
        <v>50</v>
      </c>
      <c r="H26" t="n">
        <v>257</v>
      </c>
      <c r="I26" t="inlineStr">
        <is>
          <t>Cut &amp; leave (伐捨)</t>
        </is>
      </c>
      <c r="J26" t="inlineStr">
        <is>
          <t>施業放置林整備事業</t>
        </is>
      </c>
      <c r="K26" s="15">
        <f>H26*Assumptions!$B$2</f>
        <v/>
      </c>
    </row>
    <row r="27">
      <c r="A27" t="inlineStr">
        <is>
          <t>R8 (FY2026)</t>
        </is>
      </c>
      <c r="B27" t="n">
        <v>453</v>
      </c>
      <c r="C27" t="inlineStr">
        <is>
          <t>神末</t>
        </is>
      </c>
      <c r="D27" t="inlineStr">
        <is>
          <t>2470.2475</t>
        </is>
      </c>
      <c r="E27" t="inlineStr">
        <is>
          <t>12</t>
        </is>
      </c>
      <c r="F27" t="n">
        <v>2.22</v>
      </c>
      <c r="G27" t="n">
        <v>61</v>
      </c>
      <c r="H27" t="n">
        <v>256</v>
      </c>
      <c r="I27" t="inlineStr">
        <is>
          <t>Cut &amp; leave (伐捨)</t>
        </is>
      </c>
      <c r="J27" t="inlineStr">
        <is>
          <t>施業放置林整備事業</t>
        </is>
      </c>
      <c r="K27" s="15">
        <f>H27*Assumptions!$B$2</f>
        <v/>
      </c>
    </row>
    <row r="28">
      <c r="A28" t="inlineStr">
        <is>
          <t>R8 (FY2026)</t>
        </is>
      </c>
      <c r="B28" t="n">
        <v>476</v>
      </c>
      <c r="C28" t="inlineStr">
        <is>
          <t>土屋原</t>
        </is>
      </c>
      <c r="D28" t="inlineStr">
        <is>
          <t>3313-37.-38</t>
        </is>
      </c>
      <c r="E28" t="inlineStr">
        <is>
          <t>64</t>
        </is>
      </c>
      <c r="F28" t="n">
        <v>2.18</v>
      </c>
      <c r="G28" t="n">
        <v>58</v>
      </c>
      <c r="H28" t="n">
        <v>238</v>
      </c>
      <c r="I28" t="inlineStr">
        <is>
          <t>Cut &amp; leave (伐捨)</t>
        </is>
      </c>
      <c r="J28" t="inlineStr">
        <is>
          <t>施業放置林整備事業</t>
        </is>
      </c>
      <c r="K28" s="15">
        <f>H28*Assumptions!$B$2</f>
        <v/>
      </c>
    </row>
    <row r="29">
      <c r="A29" t="inlineStr">
        <is>
          <t>R7 (FY2025)</t>
        </is>
      </c>
      <c r="B29" t="n">
        <v>424</v>
      </c>
      <c r="C29" t="inlineStr">
        <is>
          <t>桃俣</t>
        </is>
      </c>
      <c r="D29" t="inlineStr">
        <is>
          <t>1359</t>
        </is>
      </c>
      <c r="E29" t="inlineStr">
        <is>
          <t>22</t>
        </is>
      </c>
      <c r="F29" t="n">
        <v>2.69</v>
      </c>
      <c r="G29" t="n">
        <v>42</v>
      </c>
      <c r="H29" t="n">
        <v>236</v>
      </c>
      <c r="I29" t="inlineStr">
        <is>
          <t>Cut &amp; leave (伐捨)</t>
        </is>
      </c>
      <c r="J29" t="inlineStr">
        <is>
          <t>施業放置林整備事業</t>
        </is>
      </c>
      <c r="K29" s="15">
        <f>H29*Assumptions!$B$2</f>
        <v/>
      </c>
    </row>
    <row r="30">
      <c r="A30" t="inlineStr">
        <is>
          <t>R6 (FY2024)</t>
        </is>
      </c>
      <c r="B30" t="n">
        <v>352</v>
      </c>
      <c r="C30" t="inlineStr">
        <is>
          <t>桃俣</t>
        </is>
      </c>
      <c r="D30" t="inlineStr">
        <is>
          <t>1786-1</t>
        </is>
      </c>
      <c r="E30" t="inlineStr">
        <is>
          <t>72</t>
        </is>
      </c>
      <c r="F30" t="n">
        <v>3.66</v>
      </c>
      <c r="G30" t="n">
        <v>60</v>
      </c>
      <c r="H30" t="n">
        <v>235</v>
      </c>
      <c r="I30" t="inlineStr">
        <is>
          <t>Extracted (搬出)</t>
        </is>
      </c>
      <c r="J30" t="inlineStr">
        <is>
          <t>美しい森林づくり基盤整備事業</t>
        </is>
      </c>
      <c r="K30" s="15">
        <f>H30*Assumptions!$B$2</f>
        <v/>
      </c>
    </row>
    <row r="31">
      <c r="A31" t="inlineStr">
        <is>
          <t>R8 (FY2026)</t>
        </is>
      </c>
      <c r="B31" t="n">
        <v>455</v>
      </c>
      <c r="C31" t="inlineStr">
        <is>
          <t>神末</t>
        </is>
      </c>
      <c r="D31" t="inlineStr">
        <is>
          <t>1163-170</t>
        </is>
      </c>
      <c r="E31" t="inlineStr">
        <is>
          <t>29</t>
        </is>
      </c>
      <c r="F31" t="n">
        <v>3.32</v>
      </c>
      <c r="G31" t="n">
        <v>40</v>
      </c>
      <c r="H31" t="n">
        <v>234</v>
      </c>
      <c r="I31" t="inlineStr">
        <is>
          <t>Cut &amp; leave (伐捨)</t>
        </is>
      </c>
      <c r="J31" t="inlineStr">
        <is>
          <t>施業放置林整備事業</t>
        </is>
      </c>
      <c r="K31" s="15">
        <f>H31*Assumptions!$B$2</f>
        <v/>
      </c>
    </row>
    <row r="32">
      <c r="A32" t="inlineStr">
        <is>
          <t>R7 (FY2025)</t>
        </is>
      </c>
      <c r="B32" t="n">
        <v>420</v>
      </c>
      <c r="C32" t="inlineStr">
        <is>
          <t>桃俣</t>
        </is>
      </c>
      <c r="D32" t="inlineStr">
        <is>
          <t>1773-158.-159.-160</t>
        </is>
      </c>
      <c r="E32" t="inlineStr">
        <is>
          <t>73</t>
        </is>
      </c>
      <c r="F32" t="n">
        <v>2.12</v>
      </c>
      <c r="G32" t="n">
        <v>58</v>
      </c>
      <c r="H32" t="n">
        <v>231</v>
      </c>
      <c r="I32" t="inlineStr">
        <is>
          <t>Cut &amp; leave (伐捨)</t>
        </is>
      </c>
      <c r="J32" t="inlineStr">
        <is>
          <t>施業放置林整備事業</t>
        </is>
      </c>
      <c r="K32" s="15">
        <f>H32*Assumptions!$B$2</f>
        <v/>
      </c>
    </row>
    <row r="33">
      <c r="A33" t="inlineStr">
        <is>
          <t>R7 (FY2025)</t>
        </is>
      </c>
      <c r="B33" t="n">
        <v>354</v>
      </c>
      <c r="C33" t="inlineStr">
        <is>
          <t>土屋原</t>
        </is>
      </c>
      <c r="D33" t="inlineStr">
        <is>
          <t>2860.2866.2792-35</t>
        </is>
      </c>
      <c r="E33" t="inlineStr">
        <is>
          <t>54</t>
        </is>
      </c>
      <c r="F33" t="n">
        <v>3.4</v>
      </c>
      <c r="G33" t="n">
        <v>60</v>
      </c>
      <c r="H33" t="n">
        <v>218</v>
      </c>
      <c r="I33" t="inlineStr">
        <is>
          <t>Extracted (搬出)</t>
        </is>
      </c>
      <c r="J33" t="inlineStr">
        <is>
          <t>美しい森林づくり基盤整備事業</t>
        </is>
      </c>
      <c r="K33" s="15">
        <f>H33*Assumptions!$B$2</f>
        <v/>
      </c>
    </row>
    <row r="34">
      <c r="A34" t="inlineStr">
        <is>
          <t>R7 (FY2025)</t>
        </is>
      </c>
      <c r="B34" t="n">
        <v>410</v>
      </c>
      <c r="C34" t="inlineStr">
        <is>
          <t>菅野</t>
        </is>
      </c>
      <c r="D34" t="inlineStr">
        <is>
          <t>2960-26.-1474</t>
        </is>
      </c>
      <c r="E34" t="inlineStr">
        <is>
          <t>34</t>
        </is>
      </c>
      <c r="F34" t="n">
        <v>2</v>
      </c>
      <c r="G34" t="n">
        <v>56</v>
      </c>
      <c r="H34" t="n">
        <v>218</v>
      </c>
      <c r="I34" t="inlineStr">
        <is>
          <t>Cut &amp; leave (伐捨)</t>
        </is>
      </c>
      <c r="J34" t="inlineStr">
        <is>
          <t>施業放置林整備事業</t>
        </is>
      </c>
      <c r="K34" s="15">
        <f>H34*Assumptions!$B$2</f>
        <v/>
      </c>
    </row>
    <row r="35">
      <c r="A35" t="inlineStr">
        <is>
          <t>R8 (FY2026)</t>
        </is>
      </c>
      <c r="B35" t="n">
        <v>458</v>
      </c>
      <c r="C35" t="inlineStr">
        <is>
          <t>菅野</t>
        </is>
      </c>
      <c r="D35" t="inlineStr">
        <is>
          <t>1068-36.-69</t>
        </is>
      </c>
      <c r="E35" t="inlineStr">
        <is>
          <t>37</t>
        </is>
      </c>
      <c r="F35" t="n">
        <v>1.86</v>
      </c>
      <c r="G35" t="n">
        <v>68</v>
      </c>
      <c r="H35" t="n">
        <v>214</v>
      </c>
      <c r="I35" t="inlineStr">
        <is>
          <t>Cut &amp; leave (伐捨)</t>
        </is>
      </c>
      <c r="J35" t="inlineStr">
        <is>
          <t>施業放置林整備事業</t>
        </is>
      </c>
      <c r="K35" s="15">
        <f>H35*Assumptions!$B$2</f>
        <v/>
      </c>
    </row>
    <row r="36">
      <c r="A36" t="inlineStr">
        <is>
          <t>R8 (FY2026)</t>
        </is>
      </c>
      <c r="B36" t="n">
        <v>463</v>
      </c>
      <c r="C36" t="inlineStr">
        <is>
          <t>桃俣</t>
        </is>
      </c>
      <c r="D36" t="inlineStr">
        <is>
          <t>1838-1</t>
        </is>
      </c>
      <c r="E36" t="inlineStr">
        <is>
          <t>71</t>
        </is>
      </c>
      <c r="F36" t="n">
        <v>1.7</v>
      </c>
      <c r="G36" t="n">
        <v>72</v>
      </c>
      <c r="H36" t="n">
        <v>196</v>
      </c>
      <c r="I36" t="inlineStr">
        <is>
          <t>Cut &amp; leave (伐捨)</t>
        </is>
      </c>
      <c r="J36" t="inlineStr">
        <is>
          <t>施業放置林整備事業</t>
        </is>
      </c>
      <c r="K36" s="15">
        <f>H36*Assumptions!$B$2</f>
        <v/>
      </c>
    </row>
    <row r="37">
      <c r="A37" t="inlineStr">
        <is>
          <t>R8 (FY2026)</t>
        </is>
      </c>
      <c r="B37" t="n">
        <v>479</v>
      </c>
      <c r="C37" t="inlineStr">
        <is>
          <t>桃俣</t>
        </is>
      </c>
      <c r="D37" t="inlineStr">
        <is>
          <t>181-28</t>
        </is>
      </c>
      <c r="E37" t="inlineStr">
        <is>
          <t>88</t>
        </is>
      </c>
      <c r="F37" t="n">
        <v>2.2</v>
      </c>
      <c r="G37" t="n">
        <v>55</v>
      </c>
      <c r="H37" t="n">
        <v>193</v>
      </c>
      <c r="I37" t="inlineStr">
        <is>
          <t>Cut &amp; leave (伐捨)</t>
        </is>
      </c>
      <c r="J37" t="inlineStr">
        <is>
          <t>施業放置林整備事業</t>
        </is>
      </c>
      <c r="K37" s="15">
        <f>H37*Assumptions!$B$2</f>
        <v/>
      </c>
    </row>
    <row r="38">
      <c r="A38" t="inlineStr">
        <is>
          <t>R8 (FY2026)</t>
        </is>
      </c>
      <c r="B38" t="n">
        <v>452</v>
      </c>
      <c r="C38" t="inlineStr">
        <is>
          <t>神末</t>
        </is>
      </c>
      <c r="D38" t="inlineStr">
        <is>
          <t>3059-205</t>
        </is>
      </c>
      <c r="E38" t="inlineStr">
        <is>
          <t>12</t>
        </is>
      </c>
      <c r="F38" t="n">
        <v>1.62</v>
      </c>
      <c r="G38" t="n">
        <v>68</v>
      </c>
      <c r="H38" t="n">
        <v>187</v>
      </c>
      <c r="I38" t="inlineStr">
        <is>
          <t>Cut &amp; leave (伐捨)</t>
        </is>
      </c>
      <c r="J38" t="inlineStr">
        <is>
          <t>施業放置林整備事業</t>
        </is>
      </c>
      <c r="K38" s="15">
        <f>H38*Assumptions!$B$2</f>
        <v/>
      </c>
    </row>
    <row r="39">
      <c r="A39" t="inlineStr">
        <is>
          <t>R7 (FY2025)</t>
        </is>
      </c>
      <c r="B39" t="n">
        <v>434</v>
      </c>
      <c r="C39" t="inlineStr">
        <is>
          <t>菅野</t>
        </is>
      </c>
      <c r="D39" t="inlineStr">
        <is>
          <t>1951.1953</t>
        </is>
      </c>
      <c r="E39" t="inlineStr">
        <is>
          <t>95</t>
        </is>
      </c>
      <c r="F39" t="n">
        <v>1.61</v>
      </c>
      <c r="G39" t="n">
        <v>69</v>
      </c>
      <c r="H39" t="n">
        <v>186</v>
      </c>
      <c r="I39" t="inlineStr">
        <is>
          <t>Cut &amp; leave (伐捨)</t>
        </is>
      </c>
      <c r="J39" t="inlineStr">
        <is>
          <t>施業放置林整備事業</t>
        </is>
      </c>
      <c r="K39" s="15">
        <f>H39*Assumptions!$B$2</f>
        <v/>
      </c>
    </row>
    <row r="40">
      <c r="A40" t="inlineStr">
        <is>
          <t>R8 (FY2026)</t>
        </is>
      </c>
      <c r="B40" t="n">
        <v>475</v>
      </c>
      <c r="C40" t="inlineStr">
        <is>
          <t>桃俣</t>
        </is>
      </c>
      <c r="D40" t="inlineStr">
        <is>
          <t>1140-238.-239</t>
        </is>
      </c>
      <c r="E40" t="inlineStr">
        <is>
          <t>83</t>
        </is>
      </c>
      <c r="F40" t="n">
        <v>1.67</v>
      </c>
      <c r="G40" t="n">
        <v>58</v>
      </c>
      <c r="H40" t="n">
        <v>182</v>
      </c>
      <c r="I40" t="inlineStr">
        <is>
          <t>Cut &amp; leave (伐捨)</t>
        </is>
      </c>
      <c r="J40" t="inlineStr">
        <is>
          <t>施業放置林整備事業</t>
        </is>
      </c>
      <c r="K40" s="15">
        <f>H40*Assumptions!$B$2</f>
        <v/>
      </c>
    </row>
    <row r="41">
      <c r="A41" t="inlineStr">
        <is>
          <t>R8 (FY2026)</t>
        </is>
      </c>
      <c r="B41" t="n">
        <v>482</v>
      </c>
      <c r="C41" t="inlineStr">
        <is>
          <t>菅野</t>
        </is>
      </c>
      <c r="D41" t="inlineStr">
        <is>
          <t>3657-96</t>
        </is>
      </c>
      <c r="E41" t="inlineStr">
        <is>
          <t>100</t>
        </is>
      </c>
      <c r="F41" t="n">
        <v>1.61</v>
      </c>
      <c r="G41" t="n">
        <v>60</v>
      </c>
      <c r="H41" t="n">
        <v>176</v>
      </c>
      <c r="I41" t="inlineStr">
        <is>
          <t>Cut &amp; leave (伐捨)</t>
        </is>
      </c>
      <c r="J41" t="inlineStr">
        <is>
          <t>施業放置林整備事業</t>
        </is>
      </c>
      <c r="K41" s="15">
        <f>H41*Assumptions!$B$2</f>
        <v/>
      </c>
    </row>
    <row r="42">
      <c r="A42" t="inlineStr">
        <is>
          <t>R6 (FY2024)</t>
        </is>
      </c>
      <c r="B42" t="n">
        <v>329</v>
      </c>
      <c r="C42" t="inlineStr">
        <is>
          <t>土屋原</t>
        </is>
      </c>
      <c r="D42" t="inlineStr">
        <is>
          <t>874-23.-25.-33.-34</t>
        </is>
      </c>
      <c r="E42" t="inlineStr">
        <is>
          <t>69</t>
        </is>
      </c>
      <c r="F42" t="n">
        <v>1.59</v>
      </c>
      <c r="G42" t="n">
        <v>57</v>
      </c>
      <c r="H42" t="n">
        <v>173</v>
      </c>
      <c r="I42" t="inlineStr">
        <is>
          <t>Cut &amp; leave (伐捨)</t>
        </is>
      </c>
      <c r="J42" t="inlineStr">
        <is>
          <t>施業放置林整備事業</t>
        </is>
      </c>
      <c r="K42" s="15">
        <f>H42*Assumptions!$B$2</f>
        <v/>
      </c>
    </row>
    <row r="43">
      <c r="A43" t="inlineStr">
        <is>
          <t>R8 (FY2026)</t>
        </is>
      </c>
      <c r="B43" t="n">
        <v>471</v>
      </c>
      <c r="C43" t="inlineStr">
        <is>
          <t>菅野</t>
        </is>
      </c>
      <c r="D43" t="inlineStr">
        <is>
          <t>1068-47.-55</t>
        </is>
      </c>
      <c r="E43" t="inlineStr">
        <is>
          <t>37</t>
        </is>
      </c>
      <c r="F43" t="n">
        <v>1.42</v>
      </c>
      <c r="G43" t="n">
        <v>73</v>
      </c>
      <c r="H43" t="n">
        <v>164</v>
      </c>
      <c r="I43" t="inlineStr">
        <is>
          <t>Cut &amp; leave (伐捨)</t>
        </is>
      </c>
      <c r="J43" t="inlineStr">
        <is>
          <t>施業放置林整備事業</t>
        </is>
      </c>
      <c r="K43" s="15">
        <f>H43*Assumptions!$B$2</f>
        <v/>
      </c>
    </row>
    <row r="44">
      <c r="A44" t="inlineStr">
        <is>
          <t>R8 (FY2026)</t>
        </is>
      </c>
      <c r="B44" t="n">
        <v>467</v>
      </c>
      <c r="C44" t="inlineStr">
        <is>
          <t>桃俣</t>
        </is>
      </c>
      <c r="D44" t="inlineStr">
        <is>
          <t>1772-191</t>
        </is>
      </c>
      <c r="E44" t="inlineStr">
        <is>
          <t>79</t>
        </is>
      </c>
      <c r="F44" t="n">
        <v>1.32</v>
      </c>
      <c r="G44" t="n">
        <v>61</v>
      </c>
      <c r="H44" t="n">
        <v>152</v>
      </c>
      <c r="I44" t="inlineStr">
        <is>
          <t>Cut &amp; leave (伐捨)</t>
        </is>
      </c>
      <c r="J44" t="inlineStr">
        <is>
          <t>施業放置林整備事業</t>
        </is>
      </c>
      <c r="K44" s="15">
        <f>H44*Assumptions!$B$2</f>
        <v/>
      </c>
    </row>
    <row r="45">
      <c r="A45" t="inlineStr">
        <is>
          <t>R6 (FY2024)</t>
        </is>
      </c>
      <c r="B45" t="n">
        <v>338</v>
      </c>
      <c r="C45" t="inlineStr">
        <is>
          <t>土屋原</t>
        </is>
      </c>
      <c r="D45" t="inlineStr">
        <is>
          <t>435-89</t>
        </is>
      </c>
      <c r="E45" t="inlineStr">
        <is>
          <t>90</t>
        </is>
      </c>
      <c r="F45" t="n">
        <v>1.31</v>
      </c>
      <c r="G45" t="n">
        <v>63</v>
      </c>
      <c r="H45" t="n">
        <v>151</v>
      </c>
      <c r="I45" t="inlineStr">
        <is>
          <t>Cut &amp; leave (伐捨)</t>
        </is>
      </c>
      <c r="J45" t="inlineStr">
        <is>
          <t>施業放置林整備事業</t>
        </is>
      </c>
      <c r="K45" s="15">
        <f>H45*Assumptions!$B$2</f>
        <v/>
      </c>
    </row>
    <row r="46">
      <c r="A46" t="inlineStr">
        <is>
          <t>R7 (FY2025)</t>
        </is>
      </c>
      <c r="B46" t="n">
        <v>414</v>
      </c>
      <c r="C46" t="inlineStr">
        <is>
          <t>土屋原</t>
        </is>
      </c>
      <c r="D46" t="inlineStr">
        <is>
          <t>951.952.953</t>
        </is>
      </c>
      <c r="E46" t="inlineStr">
        <is>
          <t>68</t>
        </is>
      </c>
      <c r="F46" t="n">
        <v>1.22</v>
      </c>
      <c r="G46" t="n">
        <v>61</v>
      </c>
      <c r="H46" t="n">
        <v>141</v>
      </c>
      <c r="I46" t="inlineStr">
        <is>
          <t>Cut &amp; leave (伐捨)</t>
        </is>
      </c>
      <c r="J46" t="inlineStr">
        <is>
          <t>施業放置林整備事業</t>
        </is>
      </c>
      <c r="K46" s="15">
        <f>H46*Assumptions!$B$2</f>
        <v/>
      </c>
    </row>
    <row r="47">
      <c r="A47" t="inlineStr">
        <is>
          <t>R6 (FY2024)</t>
        </is>
      </c>
      <c r="B47" t="n">
        <v>304</v>
      </c>
      <c r="C47" t="inlineStr">
        <is>
          <t>神末</t>
        </is>
      </c>
      <c r="D47" t="inlineStr">
        <is>
          <t>1756-1</t>
        </is>
      </c>
      <c r="E47" t="inlineStr">
        <is>
          <t>27</t>
        </is>
      </c>
      <c r="F47" t="n">
        <v>1.58</v>
      </c>
      <c r="G47" t="n">
        <v>54</v>
      </c>
      <c r="H47" t="n">
        <v>139</v>
      </c>
      <c r="I47" t="inlineStr">
        <is>
          <t>Cut &amp; leave (伐捨)</t>
        </is>
      </c>
      <c r="J47" t="inlineStr">
        <is>
          <t>施業放置林整備事業</t>
        </is>
      </c>
      <c r="K47" s="15">
        <f>H47*Assumptions!$B$2</f>
        <v/>
      </c>
    </row>
    <row r="48">
      <c r="A48" t="inlineStr">
        <is>
          <t>R7 (FY2025)</t>
        </is>
      </c>
      <c r="B48" t="n">
        <v>422</v>
      </c>
      <c r="C48" t="inlineStr">
        <is>
          <t>桃俣</t>
        </is>
      </c>
      <c r="D48" t="inlineStr">
        <is>
          <t>1773-78.-82</t>
        </is>
      </c>
      <c r="E48" t="inlineStr">
        <is>
          <t>75</t>
        </is>
      </c>
      <c r="F48" t="n">
        <v>1.19</v>
      </c>
      <c r="G48" t="n">
        <v>61</v>
      </c>
      <c r="H48" t="n">
        <v>137</v>
      </c>
      <c r="I48" t="inlineStr">
        <is>
          <t>Cut &amp; leave (伐捨)</t>
        </is>
      </c>
      <c r="J48" t="inlineStr">
        <is>
          <t>施業放置林整備事業</t>
        </is>
      </c>
      <c r="K48" s="15">
        <f>H48*Assumptions!$B$2</f>
        <v/>
      </c>
    </row>
    <row r="49">
      <c r="A49" t="inlineStr">
        <is>
          <t>R8 (FY2026)</t>
        </is>
      </c>
      <c r="B49" t="n">
        <v>472</v>
      </c>
      <c r="C49" t="inlineStr">
        <is>
          <t>桃俣</t>
        </is>
      </c>
      <c r="D49" t="inlineStr">
        <is>
          <t>1511</t>
        </is>
      </c>
      <c r="E49" t="inlineStr">
        <is>
          <t>82</t>
        </is>
      </c>
      <c r="F49" t="n">
        <v>1.24</v>
      </c>
      <c r="G49" t="n">
        <v>60</v>
      </c>
      <c r="H49" t="n">
        <v>135</v>
      </c>
      <c r="I49" t="inlineStr">
        <is>
          <t>Cut &amp; leave (伐捨)</t>
        </is>
      </c>
      <c r="J49" t="inlineStr">
        <is>
          <t>施業放置林整備事業</t>
        </is>
      </c>
      <c r="K49" s="15">
        <f>H49*Assumptions!$B$2</f>
        <v/>
      </c>
    </row>
    <row r="50">
      <c r="A50" t="inlineStr">
        <is>
          <t>R8 (FY2026)</t>
        </is>
      </c>
      <c r="B50" t="n">
        <v>468</v>
      </c>
      <c r="C50" t="inlineStr">
        <is>
          <t>菅野</t>
        </is>
      </c>
      <c r="D50" t="inlineStr">
        <is>
          <t>1068-146</t>
        </is>
      </c>
      <c r="E50" t="inlineStr">
        <is>
          <t>38</t>
        </is>
      </c>
      <c r="F50" t="n">
        <v>1.23</v>
      </c>
      <c r="G50" t="n">
        <v>60</v>
      </c>
      <c r="H50" t="n">
        <v>134</v>
      </c>
      <c r="I50" t="inlineStr">
        <is>
          <t>Cut &amp; leave (伐捨)</t>
        </is>
      </c>
      <c r="J50" t="inlineStr">
        <is>
          <t>施業放置林整備事業</t>
        </is>
      </c>
      <c r="K50" s="15">
        <f>H50*Assumptions!$B$2</f>
        <v/>
      </c>
    </row>
    <row r="51">
      <c r="A51" t="inlineStr">
        <is>
          <t>R8 (FY2026)</t>
        </is>
      </c>
      <c r="B51" t="n">
        <v>461</v>
      </c>
      <c r="C51" t="inlineStr">
        <is>
          <t>土屋原</t>
        </is>
      </c>
      <c r="D51" t="inlineStr">
        <is>
          <t>876-7</t>
        </is>
      </c>
      <c r="E51" t="inlineStr">
        <is>
          <t>68</t>
        </is>
      </c>
      <c r="F51" t="n">
        <v>1.21</v>
      </c>
      <c r="G51" t="n">
        <v>56</v>
      </c>
      <c r="H51" t="n">
        <v>132</v>
      </c>
      <c r="I51" t="inlineStr">
        <is>
          <t>Cut &amp; leave (伐捨)</t>
        </is>
      </c>
      <c r="J51" t="inlineStr">
        <is>
          <t>施業放置林整備事業</t>
        </is>
      </c>
      <c r="K51" s="15">
        <f>H51*Assumptions!$B$2</f>
        <v/>
      </c>
    </row>
    <row r="52">
      <c r="A52" t="inlineStr">
        <is>
          <t>R8 (FY2026)</t>
        </is>
      </c>
      <c r="B52" t="n">
        <v>469</v>
      </c>
      <c r="C52" t="inlineStr">
        <is>
          <t>菅野</t>
        </is>
      </c>
      <c r="D52" t="inlineStr">
        <is>
          <t>1068-156</t>
        </is>
      </c>
      <c r="E52" t="inlineStr">
        <is>
          <t>38</t>
        </is>
      </c>
      <c r="F52" t="n">
        <v>1.18</v>
      </c>
      <c r="G52" t="n">
        <v>57</v>
      </c>
      <c r="H52" t="n">
        <v>129</v>
      </c>
      <c r="I52" t="inlineStr">
        <is>
          <t>Cut &amp; leave (伐捨)</t>
        </is>
      </c>
      <c r="J52" t="inlineStr">
        <is>
          <t>施業放置林整備事業</t>
        </is>
      </c>
      <c r="K52" s="15">
        <f>H52*Assumptions!$B$2</f>
        <v/>
      </c>
    </row>
    <row r="53">
      <c r="A53" t="inlineStr">
        <is>
          <t>R6 (FY2024)</t>
        </is>
      </c>
      <c r="B53" t="n">
        <v>334</v>
      </c>
      <c r="C53" t="inlineStr">
        <is>
          <t>桃俣</t>
        </is>
      </c>
      <c r="D53" t="inlineStr">
        <is>
          <t>1140-119</t>
        </is>
      </c>
      <c r="E53" t="inlineStr">
        <is>
          <t>85</t>
        </is>
      </c>
      <c r="F53" t="n">
        <v>1.11</v>
      </c>
      <c r="G53" t="n">
        <v>71</v>
      </c>
      <c r="H53" t="n">
        <v>128</v>
      </c>
      <c r="I53" t="inlineStr">
        <is>
          <t>Cut &amp; leave (伐捨)</t>
        </is>
      </c>
      <c r="J53" t="inlineStr">
        <is>
          <t>施業放置林整備事業</t>
        </is>
      </c>
      <c r="K53" s="15">
        <f>H53*Assumptions!$B$2</f>
        <v/>
      </c>
    </row>
    <row r="54">
      <c r="A54" t="inlineStr">
        <is>
          <t>R7 (FY2025)</t>
        </is>
      </c>
      <c r="B54" t="n">
        <v>411</v>
      </c>
      <c r="C54" t="inlineStr">
        <is>
          <t>土屋原</t>
        </is>
      </c>
      <c r="D54" t="inlineStr">
        <is>
          <t>2436-71</t>
        </is>
      </c>
      <c r="E54" t="inlineStr">
        <is>
          <t>51</t>
        </is>
      </c>
      <c r="F54" t="n">
        <v>1.11</v>
      </c>
      <c r="G54" t="n">
        <v>70</v>
      </c>
      <c r="H54" t="n">
        <v>128</v>
      </c>
      <c r="I54" t="inlineStr">
        <is>
          <t>Cut &amp; leave (伐捨)</t>
        </is>
      </c>
      <c r="J54" t="inlineStr">
        <is>
          <t>施業放置林整備事業</t>
        </is>
      </c>
      <c r="K54" s="15">
        <f>H54*Assumptions!$B$2</f>
        <v/>
      </c>
    </row>
    <row r="55">
      <c r="A55" t="inlineStr">
        <is>
          <t>R8 (FY2026)</t>
        </is>
      </c>
      <c r="B55" t="n">
        <v>481</v>
      </c>
      <c r="C55" t="inlineStr">
        <is>
          <t>菅野</t>
        </is>
      </c>
      <c r="D55" t="inlineStr">
        <is>
          <t>99.100.101</t>
        </is>
      </c>
      <c r="E55" t="inlineStr">
        <is>
          <t>99</t>
        </is>
      </c>
      <c r="F55" t="n">
        <v>1.45</v>
      </c>
      <c r="G55" t="n">
        <v>55</v>
      </c>
      <c r="H55" t="n">
        <v>127</v>
      </c>
      <c r="I55" t="inlineStr">
        <is>
          <t>Cut &amp; leave (伐捨)</t>
        </is>
      </c>
      <c r="J55" t="inlineStr">
        <is>
          <t>施業放置林整備事業</t>
        </is>
      </c>
      <c r="K55" s="15">
        <f>H55*Assumptions!$B$2</f>
        <v/>
      </c>
    </row>
    <row r="56">
      <c r="A56" t="inlineStr">
        <is>
          <t>R8 (FY2026)</t>
        </is>
      </c>
      <c r="B56" t="n">
        <v>457</v>
      </c>
      <c r="C56" t="inlineStr">
        <is>
          <t>菅野</t>
        </is>
      </c>
      <c r="D56" t="inlineStr">
        <is>
          <t>2173</t>
        </is>
      </c>
      <c r="E56" t="inlineStr">
        <is>
          <t>34</t>
        </is>
      </c>
      <c r="F56" t="n">
        <v>1.15</v>
      </c>
      <c r="G56" t="n">
        <v>59</v>
      </c>
      <c r="H56" t="n">
        <v>126</v>
      </c>
      <c r="I56" t="inlineStr">
        <is>
          <t>Cut &amp; leave (伐捨)</t>
        </is>
      </c>
      <c r="J56" t="inlineStr">
        <is>
          <t>施業放置林整備事業</t>
        </is>
      </c>
      <c r="K56" s="15">
        <f>H56*Assumptions!$B$2</f>
        <v/>
      </c>
    </row>
    <row r="57">
      <c r="A57" t="inlineStr">
        <is>
          <t>R6 (FY2024)</t>
        </is>
      </c>
      <c r="B57" t="n">
        <v>336</v>
      </c>
      <c r="C57" t="inlineStr">
        <is>
          <t>土屋原</t>
        </is>
      </c>
      <c r="D57" t="inlineStr">
        <is>
          <t>435.436.442.3375</t>
        </is>
      </c>
      <c r="E57" t="inlineStr">
        <is>
          <t>90</t>
        </is>
      </c>
      <c r="F57" t="n">
        <v>1.12</v>
      </c>
      <c r="G57" t="n">
        <v>59</v>
      </c>
      <c r="H57" t="n">
        <v>122</v>
      </c>
      <c r="I57" t="inlineStr">
        <is>
          <t>Cut &amp; leave (伐捨)</t>
        </is>
      </c>
      <c r="J57" t="inlineStr">
        <is>
          <t>施業放置林整備事業</t>
        </is>
      </c>
      <c r="K57" s="15">
        <f>H57*Assumptions!$B$2</f>
        <v/>
      </c>
    </row>
    <row r="58">
      <c r="A58" t="inlineStr">
        <is>
          <t>R8 (FY2026)</t>
        </is>
      </c>
      <c r="B58" t="n">
        <v>464</v>
      </c>
      <c r="C58" t="inlineStr">
        <is>
          <t>桃俣</t>
        </is>
      </c>
      <c r="D58" t="inlineStr">
        <is>
          <t>1773-163</t>
        </is>
      </c>
      <c r="E58" t="inlineStr">
        <is>
          <t>73</t>
        </is>
      </c>
      <c r="F58" t="n">
        <v>1.04</v>
      </c>
      <c r="G58" t="n">
        <v>65</v>
      </c>
      <c r="H58" t="n">
        <v>120</v>
      </c>
      <c r="I58" t="inlineStr">
        <is>
          <t>Cut &amp; leave (伐捨)</t>
        </is>
      </c>
      <c r="J58" t="inlineStr">
        <is>
          <t>施業放置林整備事業</t>
        </is>
      </c>
      <c r="K58" s="15">
        <f>H58*Assumptions!$B$2</f>
        <v/>
      </c>
    </row>
    <row r="59">
      <c r="A59" t="inlineStr">
        <is>
          <t>R8 (FY2026)</t>
        </is>
      </c>
      <c r="B59" t="n">
        <v>478</v>
      </c>
      <c r="C59" t="inlineStr">
        <is>
          <t>菅野</t>
        </is>
      </c>
      <c r="D59" t="inlineStr">
        <is>
          <t>3657-127</t>
        </is>
      </c>
      <c r="E59" t="inlineStr">
        <is>
          <t>99</t>
        </is>
      </c>
      <c r="F59" t="n">
        <v>0.97</v>
      </c>
      <c r="G59" t="n">
        <v>72</v>
      </c>
      <c r="H59" t="n">
        <v>112</v>
      </c>
      <c r="I59" t="inlineStr">
        <is>
          <t>Cut &amp; leave (伐捨)</t>
        </is>
      </c>
      <c r="J59" t="inlineStr">
        <is>
          <t>施業放置林整備事業</t>
        </is>
      </c>
      <c r="K59" s="15">
        <f>H59*Assumptions!$B$2</f>
        <v/>
      </c>
    </row>
    <row r="60">
      <c r="A60" t="inlineStr">
        <is>
          <t>R6 (FY2024)</t>
        </is>
      </c>
      <c r="B60" t="n">
        <v>312</v>
      </c>
      <c r="C60" t="inlineStr">
        <is>
          <t>菅野</t>
        </is>
      </c>
      <c r="D60" t="inlineStr">
        <is>
          <t>2960-185</t>
        </is>
      </c>
      <c r="E60" t="inlineStr">
        <is>
          <t>35</t>
        </is>
      </c>
      <c r="F60" t="n">
        <v>0.99</v>
      </c>
      <c r="G60" t="n">
        <v>59</v>
      </c>
      <c r="H60" t="n">
        <v>108</v>
      </c>
      <c r="I60" t="inlineStr">
        <is>
          <t>Cut &amp; leave (伐捨)</t>
        </is>
      </c>
      <c r="J60" t="inlineStr">
        <is>
          <t>施業放置林整備事業</t>
        </is>
      </c>
      <c r="K60" s="15">
        <f>H60*Assumptions!$B$2</f>
        <v/>
      </c>
    </row>
    <row r="61">
      <c r="A61" t="inlineStr">
        <is>
          <t>R7 (FY2025)</t>
        </is>
      </c>
      <c r="B61" t="n">
        <v>413</v>
      </c>
      <c r="C61" t="inlineStr">
        <is>
          <t>土屋原</t>
        </is>
      </c>
      <c r="D61" t="inlineStr">
        <is>
          <t>3282-116</t>
        </is>
      </c>
      <c r="E61" t="inlineStr">
        <is>
          <t>66</t>
        </is>
      </c>
      <c r="F61" t="n">
        <v>0.98</v>
      </c>
      <c r="G61" t="n">
        <v>56</v>
      </c>
      <c r="H61" t="n">
        <v>107</v>
      </c>
      <c r="I61" t="inlineStr">
        <is>
          <t>Cut &amp; leave (伐捨)</t>
        </is>
      </c>
      <c r="J61" t="inlineStr">
        <is>
          <t>施業放置林整備事業</t>
        </is>
      </c>
      <c r="K61" s="15">
        <f>H61*Assumptions!$B$2</f>
        <v/>
      </c>
    </row>
    <row r="62">
      <c r="A62" t="inlineStr">
        <is>
          <t>R8 (FY2026)</t>
        </is>
      </c>
      <c r="B62" t="n">
        <v>456</v>
      </c>
      <c r="C62" t="inlineStr">
        <is>
          <t>神末</t>
        </is>
      </c>
      <c r="D62" t="inlineStr">
        <is>
          <t>1163-165</t>
        </is>
      </c>
      <c r="E62" t="inlineStr">
        <is>
          <t>29</t>
        </is>
      </c>
      <c r="F62" t="n">
        <v>0.93</v>
      </c>
      <c r="G62" t="n">
        <v>63</v>
      </c>
      <c r="H62" t="n">
        <v>107</v>
      </c>
      <c r="I62" t="inlineStr">
        <is>
          <t>Cut &amp; leave (伐捨)</t>
        </is>
      </c>
      <c r="J62" t="inlineStr">
        <is>
          <t>施業放置林整備事業</t>
        </is>
      </c>
      <c r="K62" s="15">
        <f>H62*Assumptions!$B$2</f>
        <v/>
      </c>
    </row>
    <row r="63">
      <c r="A63" t="inlineStr">
        <is>
          <t>R8 (FY2026)</t>
        </is>
      </c>
      <c r="B63" t="n">
        <v>470</v>
      </c>
      <c r="C63" t="inlineStr">
        <is>
          <t>桃俣</t>
        </is>
      </c>
      <c r="D63" t="inlineStr">
        <is>
          <t>1358-1</t>
        </is>
      </c>
      <c r="E63" t="inlineStr">
        <is>
          <t>82</t>
        </is>
      </c>
      <c r="F63" t="n">
        <v>0.9</v>
      </c>
      <c r="G63" t="n">
        <v>65</v>
      </c>
      <c r="H63" t="n">
        <v>104</v>
      </c>
      <c r="I63" t="inlineStr">
        <is>
          <t>Cut &amp; leave (伐捨)</t>
        </is>
      </c>
      <c r="J63" t="inlineStr">
        <is>
          <t>施業放置林整備事業</t>
        </is>
      </c>
      <c r="K63" s="15">
        <f>H63*Assumptions!$B$2</f>
        <v/>
      </c>
    </row>
    <row r="64">
      <c r="A64" t="inlineStr">
        <is>
          <t>R7 (FY2025)</t>
        </is>
      </c>
      <c r="B64" t="n">
        <v>436</v>
      </c>
      <c r="C64" t="inlineStr">
        <is>
          <t>菅野</t>
        </is>
      </c>
      <c r="D64" t="inlineStr">
        <is>
          <t>1778-4.-7</t>
        </is>
      </c>
      <c r="E64" t="inlineStr">
        <is>
          <t>96</t>
        </is>
      </c>
      <c r="F64" t="n">
        <v>0.89</v>
      </c>
      <c r="G64" t="n">
        <v>70</v>
      </c>
      <c r="H64" t="n">
        <v>103</v>
      </c>
      <c r="I64" t="inlineStr">
        <is>
          <t>Cut &amp; leave (伐捨)</t>
        </is>
      </c>
      <c r="J64" t="inlineStr">
        <is>
          <t>施業放置林整備事業</t>
        </is>
      </c>
      <c r="K64" s="15">
        <f>H64*Assumptions!$B$2</f>
        <v/>
      </c>
    </row>
    <row r="65">
      <c r="A65" t="inlineStr">
        <is>
          <t>R6 (FY2024)</t>
        </is>
      </c>
      <c r="B65" t="n">
        <v>319</v>
      </c>
      <c r="C65" t="inlineStr">
        <is>
          <t>土屋原</t>
        </is>
      </c>
      <c r="D65" t="inlineStr">
        <is>
          <t>2792-52</t>
        </is>
      </c>
      <c r="E65" t="inlineStr">
        <is>
          <t>52</t>
        </is>
      </c>
      <c r="F65" t="n">
        <v>0.92</v>
      </c>
      <c r="G65" t="n">
        <v>59</v>
      </c>
      <c r="H65" t="n">
        <v>101</v>
      </c>
      <c r="I65" t="inlineStr">
        <is>
          <t>Cut &amp; leave (伐捨)</t>
        </is>
      </c>
      <c r="J65" t="inlineStr">
        <is>
          <t>施業放置林整備事業</t>
        </is>
      </c>
      <c r="K65" s="15">
        <f>H65*Assumptions!$B$2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2026-10-13T07:31:27Z</dcterms:created>
  <dcterms:modified xmlns:dcterms="http://purl.org/dc/terms/" xmlns:xsi="http://www.w3.org/2001/XMLSchema-instance" xsi:type="dcterms:W3CDTF">2026-10-13T07:31:27Z</dcterms:modified>
</cp:coreProperties>
</file>