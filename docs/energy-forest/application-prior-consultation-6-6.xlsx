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showInkAnnotation="0" codeName="ThisWorkbook"/>
  <xr:revisionPtr revIDLastSave="0" documentId="13_ncr:1_{65EBA163-AE86-4842-8085-B5C2F68F8E78}" xr6:coauthVersionLast="47" xr6:coauthVersionMax="47" xr10:uidLastSave="{00000000-0000-0000-0000-000000000000}"/>
  <bookViews>
    <workbookView xWindow="-110" yWindow="-110" windowWidth="19420" windowHeight="11500" tabRatio="686" xr2:uid="{00000000-000D-0000-FFFF-FFFF00000000}"/>
  </bookViews>
  <sheets>
    <sheet name="入力フォーム" sheetId="17" r:id="rId1"/>
    <sheet name="申込書" sheetId="15" r:id="rId2"/>
    <sheet name="緯度経度取得方法の例" sheetId="20" r:id="rId3"/>
    <sheet name="社内検討用シート" sheetId="22" state="hidden" r:id="rId4"/>
    <sheet name="入力F_設定" sheetId="18" state="hidden" r:id="rId5"/>
  </sheets>
  <externalReferences>
    <externalReference r:id="rId6"/>
    <externalReference r:id="rId7"/>
    <externalReference r:id="rId8"/>
  </externalReferences>
  <definedNames>
    <definedName name="__123Graph_A回収率" localSheetId="2" hidden="1">#REF!</definedName>
    <definedName name="__123Graph_A回収率" hidden="1">#REF!</definedName>
    <definedName name="__123Graph_A速度" localSheetId="2" hidden="1">#REF!</definedName>
    <definedName name="__123Graph_A速度" hidden="1">#REF!</definedName>
    <definedName name="__123Graph_B回収率" localSheetId="2" hidden="1">#REF!</definedName>
    <definedName name="__123Graph_B回収率" hidden="1">#REF!</definedName>
    <definedName name="__123Graph_B速度" localSheetId="2" hidden="1">#REF!</definedName>
    <definedName name="__123Graph_B速度" hidden="1">#REF!</definedName>
    <definedName name="__123Graph_X回収率" localSheetId="2" hidden="1">#REF!</definedName>
    <definedName name="__123Graph_X回収率" hidden="1">#REF!</definedName>
    <definedName name="__123Graph_X速度" localSheetId="2" hidden="1">#REF!</definedName>
    <definedName name="__123Graph_X速度" hidden="1">#REF!</definedName>
    <definedName name="_1__123Graph_Aｸﾞﾗﾌ_1" localSheetId="2" hidden="1">#REF!</definedName>
    <definedName name="_1__123Graph_Aｸﾞﾗﾌ_1" hidden="1">#REF!</definedName>
    <definedName name="_11__123Graph_Aｸﾞﾗﾌ_2" localSheetId="2" hidden="1">#REF!</definedName>
    <definedName name="_11__123Graph_Aｸﾞﾗﾌ_2" hidden="1">#REF!</definedName>
    <definedName name="_12__123Graph_Aｸﾞﾗﾌ_3" hidden="1">[1]経営指標データ!$J$28:$M$28</definedName>
    <definedName name="_123Graph_Aｸﾞﾗﾌ１" hidden="1">[2]ｸﾞﾗﾌﾃﾞｰﾀ!$F$4:$F$60</definedName>
    <definedName name="_13__123Graph_Aｸﾞﾗﾌ_4" hidden="1">[1]経営指標データ!$J$40:$M$40</definedName>
    <definedName name="_14__123Graph_Aｸﾞﾗﾌ_5" hidden="1">[1]経営指標データ!$J$52:$M$52</definedName>
    <definedName name="_15__123Graph_Aｸﾞﾗﾌ_6" hidden="1">[1]経営指標データ!$U$3:$Y$3</definedName>
    <definedName name="_16__123Graph_Aｸﾞﾗﾌ_7" hidden="1">[1]経営指標データ!$U$18:$Y$18</definedName>
    <definedName name="_17__123Graph_Aｸﾞﾗﾌ_8" hidden="1">[1]経営指標データ!$U$34:$Y$34</definedName>
    <definedName name="_18__123Graph_Aｸﾞﾗﾌ_9" hidden="1">[1]経営指標データ!$U$52:$Y$52</definedName>
    <definedName name="_2__123Graph_Aｸﾞﾗﾌ_1" localSheetId="2" hidden="1">#REF!</definedName>
    <definedName name="_2__123Graph_Aｸﾞﾗﾌ_1" hidden="1">#REF!</definedName>
    <definedName name="_2__123Graph_Aｸﾞﾗﾌ_2" localSheetId="2" hidden="1">#REF!</definedName>
    <definedName name="_2__123Graph_Aｸﾞﾗﾌ_2" hidden="1">#REF!</definedName>
    <definedName name="_22__123Graph_Bｸﾞﾗﾌ_1" hidden="1">[3]表!$D$6:$D$120</definedName>
    <definedName name="_23__123Graph_Bｸﾞﾗﾌ_10" hidden="1">[1]経営指標データ!$U$71:$Y$71</definedName>
    <definedName name="_24__123Graph_Bｸﾞﾗﾌ_11" hidden="1">[1]経営指標データ!$J$65:$N$65</definedName>
    <definedName name="_26__123Graph_Bｸﾞﾗﾌ_12" localSheetId="2" hidden="1">[1]経営指標データ!#REF!</definedName>
    <definedName name="_26__123Graph_Bｸﾞﾗﾌ_12" hidden="1">[1]経営指標データ!#REF!</definedName>
    <definedName name="_27__123Graph_Bｸﾞﾗﾌ_13" hidden="1">[1]B!$I$5:$N$5</definedName>
    <definedName name="_28__123Graph_Bｸﾞﾗﾌ_14" hidden="1">[1]B!$I$53:$N$53</definedName>
    <definedName name="_29__123Graph_Bｸﾞﾗﾌ_2" hidden="1">[1]経営指標データ!$J$17:$M$17</definedName>
    <definedName name="_30__123Graph_Bｸﾞﾗﾌ_3" hidden="1">[1]経営指標データ!$J$29:$M$29</definedName>
    <definedName name="_31__123Graph_Bｸﾞﾗﾌ_4" hidden="1">[1]経営指標データ!$J$41:$M$41</definedName>
    <definedName name="_32__123Graph_Bｸﾞﾗﾌ_5" hidden="1">[1]経営指標データ!$J$53:$M$53</definedName>
    <definedName name="_33__123Graph_Bｸﾞﾗﾌ_6" hidden="1">[1]経営指標データ!$U$4:$Y$4</definedName>
    <definedName name="_34__123Graph_Bｸﾞﾗﾌ_7" hidden="1">[1]経営指標データ!$U$19:$Y$19</definedName>
    <definedName name="_35__123Graph_Bｸﾞﾗﾌ_8" hidden="1">[1]経営指標データ!$U$35:$Y$35</definedName>
    <definedName name="_36__123Graph_Bｸﾞﾗﾌ_9" hidden="1">[1]経営指標データ!$U$53:$Y$53</definedName>
    <definedName name="_37__123Graph_Cｸﾞﾗﾌ_1" hidden="1">[3]表!$F$6:$F$120</definedName>
    <definedName name="_38__123Graph_Cｸﾞﾗﾌ_10" hidden="1">[1]経営指標データ!$U$72:$Y$72</definedName>
    <definedName name="_39__123Graph_Cｸﾞﾗﾌ_11" hidden="1">[1]経営指標データ!$J$66:$N$66</definedName>
    <definedName name="_4__123Graph_Aｸﾞﾗﾌ_1" localSheetId="2" hidden="1">#REF!</definedName>
    <definedName name="_4__123Graph_Aｸﾞﾗﾌ_1" hidden="1">#REF!</definedName>
    <definedName name="_4__123Graph_Aｸﾞﾗﾌ_2" localSheetId="2" hidden="1">#REF!</definedName>
    <definedName name="_4__123Graph_Aｸﾞﾗﾌ_2" hidden="1">#REF!</definedName>
    <definedName name="_41__123Graph_Cｸﾞﾗﾌ_12" localSheetId="2" hidden="1">[1]経営指標データ!#REF!</definedName>
    <definedName name="_41__123Graph_Cｸﾞﾗﾌ_12" hidden="1">[1]経営指標データ!#REF!</definedName>
    <definedName name="_42__123Graph_Cｸﾞﾗﾌ_13" hidden="1">[1]B!$I$6:$N$6</definedName>
    <definedName name="_43__123Graph_Cｸﾞﾗﾌ_14" hidden="1">[1]B!$I$54:$N$54</definedName>
    <definedName name="_45__123Graph_Cｸﾞﾗﾌ_3" localSheetId="2" hidden="1">#REF!</definedName>
    <definedName name="_45__123Graph_Cｸﾞﾗﾌ_3" hidden="1">#REF!</definedName>
    <definedName name="_46__123Graph_Cｸﾞﾗﾌ_6" hidden="1">[1]経営指標データ!$U$5:$Y$5</definedName>
    <definedName name="_47__123Graph_Cｸﾞﾗﾌ_7" hidden="1">[1]経営指標データ!$U$20:$Y$20</definedName>
    <definedName name="_48__123Graph_Cｸﾞﾗﾌ_8" hidden="1">[1]経営指標データ!$U$36:$Y$36</definedName>
    <definedName name="_49__123Graph_Cｸﾞﾗﾌ_9" hidden="1">[1]経営指標データ!$U$54:$Y$54</definedName>
    <definedName name="_5__123Graph_Aｸﾞﾗﾌ_10" hidden="1">[1]経営指標データ!$U$70:$Y$70</definedName>
    <definedName name="_50__123Graph_Dｸﾞﾗﾌ_12" hidden="1">[1]経営指標データ!$U$87:$Y$87</definedName>
    <definedName name="_52__123Graph_Dｸﾞﾗﾌ_3" localSheetId="2" hidden="1">#REF!</definedName>
    <definedName name="_52__123Graph_Dｸﾞﾗﾌ_3" hidden="1">#REF!</definedName>
    <definedName name="_56__123Graph_Xｸﾞﾗﾌ_1" localSheetId="2" hidden="1">#REF!</definedName>
    <definedName name="_56__123Graph_Xｸﾞﾗﾌ_1" hidden="1">#REF!</definedName>
    <definedName name="_57__123Graph_Xｸﾞﾗﾌ_10" hidden="1">[1]経営指標データ!$U$69:$Y$69</definedName>
    <definedName name="_58__123Graph_Xｸﾞﾗﾌ_11" hidden="1">[1]経営指標データ!$J$64:$N$64</definedName>
    <definedName name="_59__123Graph_Xｸﾞﾗﾌ_12" hidden="1">[1]経営指標データ!$U$86:$Y$86</definedName>
    <definedName name="_6__123Graph_Aｸﾞﾗﾌ_13" hidden="1">[1]B!$I$4:$N$4</definedName>
    <definedName name="_60__123Graph_Xｸﾞﾗﾌ_14" hidden="1">[1]B!$I$51:$N$51</definedName>
    <definedName name="_64__123Graph_Xｸﾞﾗﾌ_2" localSheetId="2" hidden="1">#REF!</definedName>
    <definedName name="_64__123Graph_Xｸﾞﾗﾌ_2" hidden="1">#REF!</definedName>
    <definedName name="_65__123Graph_Xｸﾞﾗﾌ_3" hidden="1">[1]経営指標データ!$J$27:$M$27</definedName>
    <definedName name="_66__123Graph_Xｸﾞﾗﾌ_4" hidden="1">[1]経営指標データ!$J$39:$M$39</definedName>
    <definedName name="_67__123Graph_Xｸﾞﾗﾌ_5" hidden="1">[1]経営指標データ!$J$51:$M$51</definedName>
    <definedName name="_68__123Graph_Xｸﾞﾗﾌ_6" hidden="1">[1]経営指標データ!$U$2:$Y$2</definedName>
    <definedName name="_69__123Graph_Xｸﾞﾗﾌ_7" hidden="1">[1]経営指標データ!$U$17:$Y$17</definedName>
    <definedName name="_7__123Graph_Aｸﾞﾗﾌ_14" hidden="1">[1]B!$I$52:$N$52</definedName>
    <definedName name="_70__123Graph_Xｸﾞﾗﾌ_8" hidden="1">[1]経営指標データ!$U$33:$Y$33</definedName>
    <definedName name="_71__123Graph_Xｸﾞﾗﾌ_9" hidden="1">[1]経営指標データ!$U$51:$Y$51</definedName>
    <definedName name="_Fill" localSheetId="2" hidden="1">#REF!</definedName>
    <definedName name="_Fill" hidden="1">#REF!</definedName>
    <definedName name="_xlnm._FilterDatabase" localSheetId="1" hidden="1">申込書!#REF!</definedName>
    <definedName name="_Key1" localSheetId="2" hidden="1">#REF!</definedName>
    <definedName name="_Key1" hidden="1">#REF!</definedName>
    <definedName name="_Key2" localSheetId="2" hidden="1">#REF!</definedName>
    <definedName name="_Key2" hidden="1">#REF!</definedName>
    <definedName name="_Order1" hidden="1">0</definedName>
    <definedName name="_Order2" hidden="1">0</definedName>
    <definedName name="_Sort" localSheetId="2" hidden="1">#REF!</definedName>
    <definedName name="_Sort" hidden="1">#REF!</definedName>
    <definedName name="aaa" localSheetId="2" hidden="1">#REF!</definedName>
    <definedName name="aaa" hidden="1">#REF!</definedName>
    <definedName name="ａｉ" hidden="1">{"日別最高気温",#N/A,FALSE,"最高気"}</definedName>
    <definedName name="aii" hidden="1">{"日別最高気温",#N/A,FALSE,"最高気"}</definedName>
    <definedName name="Data" localSheetId="2">#REF!</definedName>
    <definedName name="Data" localSheetId="0">#REF!</definedName>
    <definedName name="Data">#REF!</definedName>
    <definedName name="ｆｒ" hidden="1">{"日別最高気温",#N/A,FALSE,"最高気"}</definedName>
    <definedName name="HTML_CodePage" hidden="1">932</definedName>
    <definedName name="HTML_Control" hidden="1">{"'２'!$B$1:$L$40"}</definedName>
    <definedName name="HTML_Description" hidden="1">""</definedName>
    <definedName name="HTML_Email" hidden="1">""</definedName>
    <definedName name="HTML_Header" hidden="1">"２"</definedName>
    <definedName name="HTML_LastUpdate" hidden="1">"99/10/18"</definedName>
    <definedName name="HTML_LineAfter" hidden="1">FALSE</definedName>
    <definedName name="HTML_LineBefore" hidden="1">FALSE</definedName>
    <definedName name="HTML_Name" hidden="1">"小寺　輝明"</definedName>
    <definedName name="HTML_OBDlg2" hidden="1">TRUE</definedName>
    <definedName name="HTML_OBDlg4" hidden="1">TRUE</definedName>
    <definedName name="HTML_OS" hidden="1">0</definedName>
    <definedName name="HTML_PathFile" hidden="1">"D:\変換元\MyHTML.htm"</definedName>
    <definedName name="HTML_Title" hidden="1">"こてらテスト"</definedName>
    <definedName name="HTML1_1" hidden="1">"'[新通統97.XLS]レタ－'!$A$20:$F$48"</definedName>
    <definedName name="HTML1_10" hidden="1">""</definedName>
    <definedName name="HTML1_11" hidden="1">1</definedName>
    <definedName name="HTML1_12" hidden="1">"I:\通関統計.HTM"</definedName>
    <definedName name="HTML1_2" hidden="1">1</definedName>
    <definedName name="HTML1_3" hidden="1">"新通統97.XL"</definedName>
    <definedName name="HTML1_4" hidden="1">"レタ－"</definedName>
    <definedName name="HTML1_5" hidden="1">""</definedName>
    <definedName name="HTML1_6" hidden="1">-4146</definedName>
    <definedName name="HTML1_7" hidden="1">-4146</definedName>
    <definedName name="HTML1_8" hidden="1">"98/03/02"</definedName>
    <definedName name="HTML1_9" hidden="1">"LNG課"</definedName>
    <definedName name="HTMLCount" hidden="1">1</definedName>
    <definedName name="iii" localSheetId="2" hidden="1">#REF!</definedName>
    <definedName name="iii" hidden="1">#REF!</definedName>
    <definedName name="kaki" localSheetId="2" hidden="1">#REF!</definedName>
    <definedName name="kaki" hidden="1">#REF!</definedName>
    <definedName name="_xlnm.Print_Area" localSheetId="2">緯度経度取得方法の例!$A$1:$AI$18</definedName>
    <definedName name="_xlnm.Print_Area" localSheetId="1">申込書!$A$1:$DP$25</definedName>
    <definedName name="_xlnm.Print_Area" localSheetId="0">入力フォーム!$A$1:$BQ$30</definedName>
    <definedName name="se" hidden="1">{"日別最高気温",#N/A,FALSE,"最高気"}</definedName>
    <definedName name="syuusei" hidden="1">{"日別最高気温",#N/A,FALSE,"最高気"}</definedName>
    <definedName name="wrn.日別最高気温印刷." hidden="1">{"日別最高気温",#N/A,FALSE,"最高気"}</definedName>
    <definedName name="あれれ" localSheetId="2" hidden="1">#REF!</definedName>
    <definedName name="あれれ" hidden="1">#REF!</definedName>
    <definedName name="カタログ" localSheetId="2" hidden="1">#REF!</definedName>
    <definedName name="カタログ" hidden="1">#REF!</definedName>
    <definedName name="じくうけ" hidden="1">{"'２'!$B$1:$L$40"}</definedName>
    <definedName name="スケール２" hidden="1">{"'２'!$B$1:$L$40"}</definedName>
    <definedName name="せ" hidden="1">{"日別最高気温",#N/A,FALSE,"最高気"}</definedName>
    <definedName name="ユニット" localSheetId="2">#REF!</definedName>
    <definedName name="ユニット" localSheetId="1">申込書!#REF!</definedName>
    <definedName name="ユニット">#REF!</definedName>
    <definedName name="愛知県" localSheetId="2">#REF!</definedName>
    <definedName name="愛知県" localSheetId="1">申込書!#REF!</definedName>
    <definedName name="愛知県">入力F_設定!$S$3</definedName>
    <definedName name="危機期" hidden="1">{"日別最高気温",#N/A,FALSE,"最高気"}</definedName>
    <definedName name="岐阜県" localSheetId="1">申込書!#REF!</definedName>
    <definedName name="岐阜県">入力F_設定!$O$3:$O$6</definedName>
    <definedName name="岐阜市">入力F_設定!$O$3:$O$6</definedName>
    <definedName name="京都府">入力F_設定!$I$3:$I$38</definedName>
    <definedName name="空欄" localSheetId="2" hidden="1">#REF!</definedName>
    <definedName name="空欄" hidden="1">#REF!</definedName>
    <definedName name="最大分析" hidden="1">{"日別最高気温",#N/A,FALSE,"最高気"}</definedName>
    <definedName name="三重県" localSheetId="1">申込書!#REF!</definedName>
    <definedName name="三重県">入力F_設定!$P$3:$P$14</definedName>
    <definedName name="滋賀県">入力F_設定!$H$3:$H$21</definedName>
    <definedName name="修正後" hidden="1">{"日別最高気温",#N/A,FALSE,"最高気"}</definedName>
    <definedName name="集約需要家ID" localSheetId="2">#REF!</definedName>
    <definedName name="集約需要家ID" localSheetId="0">#REF!</definedName>
    <definedName name="集約需要家ID">#REF!</definedName>
    <definedName name="新潟県" localSheetId="2">#REF!</definedName>
    <definedName name="新潟県" localSheetId="1">#REF!</definedName>
    <definedName name="新潟県">#REF!</definedName>
    <definedName name="棲み分け" hidden="1">{"'２'!$B$1:$L$40"}</definedName>
    <definedName name="静岡県" localSheetId="2">#REF!</definedName>
    <definedName name="静岡県" localSheetId="1">申込書!#REF!</definedName>
    <definedName name="静岡県">#REF!</definedName>
    <definedName name="石川県">入力F_設定!$T$3</definedName>
    <definedName name="大阪府">入力F_設定!$J$3:$J$74</definedName>
    <definedName name="長野県" localSheetId="1">申込書!#REF!</definedName>
    <definedName name="長野県">入力F_設定!$R$3</definedName>
    <definedName name="都道府県" localSheetId="2">#REF!</definedName>
    <definedName name="都道府県" localSheetId="1">申込書!#REF!</definedName>
    <definedName name="都道府県">#REF!</definedName>
    <definedName name="奈良県">入力F_設定!$L$3:$L$41</definedName>
    <definedName name="富山県">入力F_設定!$Q$3</definedName>
    <definedName name="福井県">入力F_設定!$N$3:$N$10</definedName>
    <definedName name="兵庫県">入力F_設定!$K$3:$K$51</definedName>
    <definedName name="要綱" hidden="1">{"'２'!$B$1:$L$40"}</definedName>
    <definedName name="和歌山県">入力F_設定!$M$3:$M$32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2" l="1"/>
  <c r="D35" i="22" l="1"/>
  <c r="D33" i="22"/>
  <c r="E32" i="22"/>
  <c r="C31" i="22"/>
  <c r="C27" i="22"/>
  <c r="C26" i="22"/>
  <c r="C25" i="22"/>
  <c r="D23" i="22"/>
  <c r="C23" i="22"/>
  <c r="E21" i="22"/>
  <c r="D21" i="22"/>
  <c r="C21" i="22"/>
  <c r="C17" i="22"/>
  <c r="C16" i="22"/>
  <c r="C15" i="22"/>
  <c r="C14" i="22"/>
  <c r="C13" i="22"/>
  <c r="C12" i="22"/>
  <c r="C9" i="22"/>
  <c r="AY5" i="15" l="1"/>
  <c r="L21" i="17" l="1"/>
  <c r="C28" i="22" s="1"/>
  <c r="AL5" i="15" l="1"/>
  <c r="BT10" i="17"/>
  <c r="AK17" i="20" l="1"/>
  <c r="U17" i="20" s="1"/>
  <c r="AJ17" i="20"/>
  <c r="O17" i="20" s="1"/>
  <c r="AK16" i="20"/>
  <c r="U16" i="20" s="1"/>
  <c r="AJ16" i="20"/>
  <c r="O16" i="20" s="1"/>
  <c r="L17" i="17" l="1"/>
  <c r="BT24" i="17" l="1"/>
  <c r="BT19" i="17"/>
  <c r="BT18" i="17"/>
  <c r="BT16" i="17"/>
  <c r="BV14" i="17"/>
  <c r="BU14" i="17"/>
  <c r="BT14" i="17"/>
  <c r="BT9" i="17"/>
  <c r="BT6" i="17"/>
  <c r="BT7" i="17"/>
  <c r="BT8" i="17"/>
  <c r="BT5" i="17"/>
  <c r="AT17" i="17" l="1"/>
  <c r="F12" i="15" l="1"/>
  <c r="I14" i="15" l="1"/>
  <c r="G15" i="15"/>
  <c r="G13" i="15" l="1"/>
  <c r="C14" i="15"/>
  <c r="C13" i="15"/>
  <c r="C12" i="15"/>
  <c r="D12" i="15"/>
  <c r="I11" i="15"/>
  <c r="I10" i="15"/>
  <c r="E11" i="15"/>
  <c r="E10" i="15"/>
  <c r="E9" i="15"/>
  <c r="E8" i="15"/>
  <c r="AT21" i="17"/>
  <c r="AT28" i="17" s="1"/>
  <c r="L28" i="17" l="1"/>
  <c r="C34" i="22" s="1"/>
  <c r="A7" i="18"/>
  <c r="A6" i="18"/>
  <c r="C15" i="15"/>
  <c r="BT28" i="17" l="1"/>
  <c r="BT2" i="17" s="1"/>
  <c r="G16" i="15"/>
  <c r="G3"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14" authorId="0" shapeId="0" xr:uid="{00000000-0006-0000-0000-000001000000}">
      <text>
        <r>
          <rPr>
            <b/>
            <sz val="9"/>
            <color indexed="81"/>
            <rFont val="MS P ゴシック"/>
            <family val="3"/>
            <charset val="128"/>
          </rPr>
          <t>都道府県を選択してください</t>
        </r>
      </text>
    </comment>
    <comment ref="Q14" authorId="0" shapeId="0" xr:uid="{00000000-0006-0000-0000-000002000000}">
      <text>
        <r>
          <rPr>
            <b/>
            <sz val="9"/>
            <color indexed="81"/>
            <rFont val="MS P ゴシック"/>
            <family val="3"/>
            <charset val="128"/>
          </rPr>
          <t>市区町村を選択してください</t>
        </r>
      </text>
    </comment>
    <comment ref="X14" authorId="0" shapeId="0" xr:uid="{00000000-0006-0000-0000-000003000000}">
      <text>
        <r>
          <rPr>
            <b/>
            <sz val="9"/>
            <color indexed="81"/>
            <rFont val="MS P ゴシック"/>
            <family val="3"/>
            <charset val="128"/>
          </rPr>
          <t>・番地以降を入力してください。
・市区町村で「その他」を選択の場合は市区町村以降をご記入ください。</t>
        </r>
      </text>
    </comment>
    <comment ref="AT14" authorId="0" shapeId="0" xr:uid="{00000000-0006-0000-0000-000004000000}">
      <text>
        <r>
          <rPr>
            <b/>
            <sz val="9"/>
            <color indexed="81"/>
            <rFont val="MS P ゴシック"/>
            <family val="3"/>
            <charset val="128"/>
          </rPr>
          <t>都道府県を選択してください</t>
        </r>
      </text>
    </comment>
    <comment ref="AY14" authorId="0" shapeId="0" xr:uid="{00000000-0006-0000-0000-000005000000}">
      <text>
        <r>
          <rPr>
            <b/>
            <sz val="9"/>
            <color indexed="81"/>
            <rFont val="MS P ゴシック"/>
            <family val="3"/>
            <charset val="128"/>
          </rPr>
          <t>市区町村を選択してください</t>
        </r>
      </text>
    </comment>
    <comment ref="BF14" authorId="0" shapeId="0" xr:uid="{00000000-0006-0000-0000-000006000000}">
      <text>
        <r>
          <rPr>
            <b/>
            <sz val="9"/>
            <color indexed="81"/>
            <rFont val="MS P ゴシック"/>
            <family val="3"/>
            <charset val="128"/>
          </rPr>
          <t>・番地以降を入力してください。
・市区町村で「その他」を選択の場合は市区町村以降をご記入ください。</t>
        </r>
      </text>
    </comment>
    <comment ref="L17" authorId="0" shapeId="0" xr:uid="{00000000-0006-0000-0000-000007000000}">
      <text>
        <r>
          <rPr>
            <b/>
            <sz val="9"/>
            <color indexed="81"/>
            <rFont val="MS P ゴシック"/>
            <family val="3"/>
            <charset val="128"/>
          </rPr>
          <t>自動判定</t>
        </r>
      </text>
    </comment>
  </commentList>
</comments>
</file>

<file path=xl/sharedStrings.xml><?xml version="1.0" encoding="utf-8"?>
<sst xmlns="http://schemas.openxmlformats.org/spreadsheetml/2006/main" count="488" uniqueCount="407">
  <si>
    <t>依頼者</t>
    <rPh sb="0" eb="2">
      <t>イライ</t>
    </rPh>
    <rPh sb="2" eb="3">
      <t>シャ</t>
    </rPh>
    <phoneticPr fontId="2"/>
  </si>
  <si>
    <t>会社名</t>
    <rPh sb="0" eb="2">
      <t>カイシャ</t>
    </rPh>
    <rPh sb="2" eb="3">
      <t>メイ</t>
    </rPh>
    <phoneticPr fontId="2"/>
  </si>
  <si>
    <t>所在地</t>
    <rPh sb="0" eb="3">
      <t>ショザイチ</t>
    </rPh>
    <phoneticPr fontId="2"/>
  </si>
  <si>
    <t>所属・担当者</t>
    <rPh sb="0" eb="2">
      <t>ショゾク</t>
    </rPh>
    <rPh sb="3" eb="6">
      <t>タントウシャ</t>
    </rPh>
    <phoneticPr fontId="2"/>
  </si>
  <si>
    <t>E-mail</t>
    <phoneticPr fontId="2"/>
  </si>
  <si>
    <t>電話番号</t>
    <rPh sb="0" eb="2">
      <t>デンワ</t>
    </rPh>
    <rPh sb="2" eb="4">
      <t>バンゴウ</t>
    </rPh>
    <phoneticPr fontId="2"/>
  </si>
  <si>
    <t>FAX</t>
    <phoneticPr fontId="2"/>
  </si>
  <si>
    <t>発電設備等の
設置場所</t>
    <rPh sb="0" eb="2">
      <t>ハツデン</t>
    </rPh>
    <rPh sb="2" eb="4">
      <t>セツビ</t>
    </rPh>
    <rPh sb="4" eb="5">
      <t>トウ</t>
    </rPh>
    <rPh sb="7" eb="9">
      <t>セッチ</t>
    </rPh>
    <rPh sb="9" eb="11">
      <t>バショ</t>
    </rPh>
    <phoneticPr fontId="2"/>
  </si>
  <si>
    <t>発電設備等の種類</t>
    <rPh sb="0" eb="2">
      <t>ハツデン</t>
    </rPh>
    <rPh sb="2" eb="4">
      <t>セツビ</t>
    </rPh>
    <rPh sb="4" eb="5">
      <t>トウ</t>
    </rPh>
    <rPh sb="6" eb="8">
      <t>シュルイ</t>
    </rPh>
    <phoneticPr fontId="2"/>
  </si>
  <si>
    <t>発電設備等容量</t>
    <rPh sb="0" eb="5">
      <t>ハツデンセツビトウ</t>
    </rPh>
    <rPh sb="5" eb="7">
      <t>ヨウリョウ</t>
    </rPh>
    <phoneticPr fontId="2"/>
  </si>
  <si>
    <t>kW</t>
    <phoneticPr fontId="2"/>
  </si>
  <si>
    <t>高圧連系</t>
    <rPh sb="0" eb="2">
      <t>コウアツ</t>
    </rPh>
    <rPh sb="2" eb="4">
      <t>レンケイ</t>
    </rPh>
    <phoneticPr fontId="2"/>
  </si>
  <si>
    <t>特高連系</t>
    <rPh sb="0" eb="2">
      <t>トッコウ</t>
    </rPh>
    <rPh sb="2" eb="4">
      <t>レンケイ</t>
    </rPh>
    <phoneticPr fontId="2"/>
  </si>
  <si>
    <t>kV</t>
    <phoneticPr fontId="2"/>
  </si>
  <si>
    <t>１．申込みの概要</t>
    <rPh sb="2" eb="4">
      <t>モウシコ</t>
    </rPh>
    <rPh sb="6" eb="8">
      <t>ガイヨウ</t>
    </rPh>
    <phoneticPr fontId="2"/>
  </si>
  <si>
    <t>事前相談申込書</t>
    <rPh sb="0" eb="2">
      <t>ジゼン</t>
    </rPh>
    <rPh sb="2" eb="4">
      <t>ソウダン</t>
    </rPh>
    <rPh sb="4" eb="6">
      <t>モウシコミ</t>
    </rPh>
    <rPh sb="6" eb="7">
      <t>ショ</t>
    </rPh>
    <phoneticPr fontId="2"/>
  </si>
  <si>
    <t>申込日</t>
    <rPh sb="0" eb="2">
      <t>モウシコミ</t>
    </rPh>
    <rPh sb="2" eb="3">
      <t>ビ</t>
    </rPh>
    <phoneticPr fontId="2"/>
  </si>
  <si>
    <t>御中</t>
    <rPh sb="0" eb="2">
      <t>オンチュウ</t>
    </rPh>
    <phoneticPr fontId="2"/>
  </si>
  <si>
    <t>以　上</t>
    <rPh sb="0" eb="1">
      <t>イ</t>
    </rPh>
    <rPh sb="2" eb="3">
      <t>ウエ</t>
    </rPh>
    <phoneticPr fontId="2"/>
  </si>
  <si>
    <t>目的外使用・開示禁止</t>
    <rPh sb="0" eb="2">
      <t>モクテキ</t>
    </rPh>
    <rPh sb="2" eb="3">
      <t>ガイ</t>
    </rPh>
    <rPh sb="3" eb="5">
      <t>シヨウ</t>
    </rPh>
    <rPh sb="6" eb="8">
      <t>カイジ</t>
    </rPh>
    <rPh sb="8" eb="10">
      <t>キンシ</t>
    </rPh>
    <phoneticPr fontId="2"/>
  </si>
  <si>
    <t>希望連系点</t>
    <rPh sb="0" eb="2">
      <t>キボウ</t>
    </rPh>
    <rPh sb="2" eb="4">
      <t>レンケイ</t>
    </rPh>
    <rPh sb="4" eb="5">
      <t>テン</t>
    </rPh>
    <phoneticPr fontId="2"/>
  </si>
  <si>
    <t>※以下のスペースに貼り付けてください。</t>
    <rPh sb="1" eb="3">
      <t>イカ</t>
    </rPh>
    <rPh sb="9" eb="10">
      <t>ハ</t>
    </rPh>
    <rPh sb="11" eb="12">
      <t>ツ</t>
    </rPh>
    <phoneticPr fontId="2"/>
  </si>
  <si>
    <t>添付書類１</t>
    <rPh sb="0" eb="4">
      <t>テンプショルイ</t>
    </rPh>
    <phoneticPr fontId="2"/>
  </si>
  <si>
    <t>添付書類２</t>
    <rPh sb="0" eb="4">
      <t>テンプショルイ</t>
    </rPh>
    <phoneticPr fontId="2"/>
  </si>
  <si>
    <r>
      <rPr>
        <b/>
        <sz val="11"/>
        <color theme="1"/>
        <rFont val="ＭＳ ゴシック"/>
        <family val="3"/>
        <charset val="128"/>
      </rPr>
      <t xml:space="preserve">２．添付書類 </t>
    </r>
    <r>
      <rPr>
        <sz val="11"/>
        <color theme="1"/>
        <rFont val="ＭＳ ゴシック"/>
        <family val="3"/>
        <charset val="128"/>
      </rPr>
      <t>（※添付書類がある場合のみご記入ください。）</t>
    </r>
    <rPh sb="2" eb="4">
      <t>テンプ</t>
    </rPh>
    <rPh sb="4" eb="6">
      <t>ショルイ</t>
    </rPh>
    <rPh sb="9" eb="11">
      <t>テンプ</t>
    </rPh>
    <rPh sb="11" eb="13">
      <t>ショルイ</t>
    </rPh>
    <rPh sb="16" eb="18">
      <t>バアイ</t>
    </rPh>
    <rPh sb="21" eb="23">
      <t>キニュウ</t>
    </rPh>
    <phoneticPr fontId="2"/>
  </si>
  <si>
    <t>連系先一般送配電事業者
又は配電事業者</t>
    <rPh sb="0" eb="2">
      <t>レンケイ</t>
    </rPh>
    <rPh sb="2" eb="3">
      <t>サキ</t>
    </rPh>
    <rPh sb="3" eb="11">
      <t>イッパンソウハイデンジギョウシャ</t>
    </rPh>
    <rPh sb="12" eb="13">
      <t>マタ</t>
    </rPh>
    <rPh sb="14" eb="19">
      <t>ハイデンジギョウシャ</t>
    </rPh>
    <phoneticPr fontId="2"/>
  </si>
  <si>
    <t>電柱番号</t>
    <rPh sb="0" eb="2">
      <t>デンチュウ</t>
    </rPh>
    <rPh sb="2" eb="4">
      <t>バンゴウ</t>
    </rPh>
    <phoneticPr fontId="2"/>
  </si>
  <si>
    <t>関西電力送配電株式会社</t>
    <rPh sb="0" eb="2">
      <t>カンサイ</t>
    </rPh>
    <rPh sb="2" eb="4">
      <t>デンリョク</t>
    </rPh>
    <rPh sb="4" eb="5">
      <t>ソウ</t>
    </rPh>
    <rPh sb="5" eb="7">
      <t>ハイデン</t>
    </rPh>
    <rPh sb="7" eb="11">
      <t>カブシキガイシャ</t>
    </rPh>
    <phoneticPr fontId="2"/>
  </si>
  <si>
    <t>【入力例】</t>
    <rPh sb="1" eb="3">
      <t>ニュウリョク</t>
    </rPh>
    <rPh sb="3" eb="4">
      <t>レイ</t>
    </rPh>
    <phoneticPr fontId="2"/>
  </si>
  <si>
    <t>****/**/**　</t>
    <phoneticPr fontId="2"/>
  </si>
  <si>
    <t>〇〇　〇〇</t>
    <phoneticPr fontId="2"/>
  </si>
  <si>
    <t>〇〇〇-〇〇〇〇</t>
    <phoneticPr fontId="2"/>
  </si>
  <si>
    <t>〇〇〇〇株式会社</t>
    <phoneticPr fontId="2"/>
  </si>
  <si>
    <t>【発電設備概要】</t>
    <rPh sb="1" eb="3">
      <t>ハツデン</t>
    </rPh>
    <rPh sb="3" eb="5">
      <t>セツビ</t>
    </rPh>
    <rPh sb="5" eb="7">
      <t>ガイヨウ</t>
    </rPh>
    <phoneticPr fontId="2"/>
  </si>
  <si>
    <t>【申込者概要】</t>
    <rPh sb="1" eb="3">
      <t>モウシコミ</t>
    </rPh>
    <rPh sb="3" eb="4">
      <t>シャ</t>
    </rPh>
    <rPh sb="4" eb="6">
      <t>ガイヨウ</t>
    </rPh>
    <phoneticPr fontId="2"/>
  </si>
  <si>
    <t>発電設備等容量</t>
    <rPh sb="0" eb="2">
      <t>ハツデン</t>
    </rPh>
    <rPh sb="2" eb="4">
      <t>セツビ</t>
    </rPh>
    <rPh sb="4" eb="5">
      <t>トウ</t>
    </rPh>
    <rPh sb="5" eb="7">
      <t>ヨウリョウ</t>
    </rPh>
    <phoneticPr fontId="2"/>
  </si>
  <si>
    <t>【連系先概要】</t>
    <rPh sb="1" eb="3">
      <t>レンケイ</t>
    </rPh>
    <rPh sb="3" eb="4">
      <t>サキ</t>
    </rPh>
    <rPh sb="4" eb="6">
      <t>ガイヨウ</t>
    </rPh>
    <phoneticPr fontId="2"/>
  </si>
  <si>
    <t>連系先一般送配電事業者
又は配電事業者</t>
    <rPh sb="0" eb="2">
      <t>レンケイ</t>
    </rPh>
    <rPh sb="2" eb="3">
      <t>サキ</t>
    </rPh>
    <rPh sb="3" eb="5">
      <t>イッパン</t>
    </rPh>
    <rPh sb="5" eb="6">
      <t>ソウ</t>
    </rPh>
    <rPh sb="6" eb="8">
      <t>ハイデン</t>
    </rPh>
    <rPh sb="8" eb="10">
      <t>ジギョウ</t>
    </rPh>
    <rPh sb="10" eb="11">
      <t>シャ</t>
    </rPh>
    <rPh sb="12" eb="13">
      <t>マタ</t>
    </rPh>
    <rPh sb="14" eb="16">
      <t>ハイデン</t>
    </rPh>
    <rPh sb="16" eb="18">
      <t>ジギョウ</t>
    </rPh>
    <rPh sb="18" eb="19">
      <t>シャ</t>
    </rPh>
    <phoneticPr fontId="2"/>
  </si>
  <si>
    <t>高圧連系</t>
    <phoneticPr fontId="2"/>
  </si>
  <si>
    <t>特高連系</t>
    <rPh sb="0" eb="2">
      <t>トッコウ</t>
    </rPh>
    <phoneticPr fontId="2"/>
  </si>
  <si>
    <t>大阪府大阪市〇〇〇　〇-〇</t>
    <phoneticPr fontId="2"/>
  </si>
  <si>
    <t>*****@***.co.jp</t>
  </si>
  <si>
    <t>自家消費電力</t>
    <rPh sb="0" eb="2">
      <t>ジカ</t>
    </rPh>
    <rPh sb="2" eb="4">
      <t>ショウヒ</t>
    </rPh>
    <rPh sb="4" eb="6">
      <t>デンリョク</t>
    </rPh>
    <phoneticPr fontId="2"/>
  </si>
  <si>
    <t>最大受電電力</t>
    <rPh sb="0" eb="2">
      <t>サイダイ</t>
    </rPh>
    <rPh sb="2" eb="4">
      <t>ジュデン</t>
    </rPh>
    <rPh sb="4" eb="6">
      <t>デンリョク</t>
    </rPh>
    <phoneticPr fontId="2"/>
  </si>
  <si>
    <t>1-1999</t>
    <phoneticPr fontId="2"/>
  </si>
  <si>
    <t>2000-9999</t>
    <phoneticPr fontId="2"/>
  </si>
  <si>
    <t>10000以上</t>
    <phoneticPr fontId="2"/>
  </si>
  <si>
    <t>22(33)</t>
    <phoneticPr fontId="2"/>
  </si>
  <si>
    <t>その他</t>
    <rPh sb="2" eb="3">
      <t>タ</t>
    </rPh>
    <phoneticPr fontId="2"/>
  </si>
  <si>
    <t>kV</t>
    <phoneticPr fontId="2"/>
  </si>
  <si>
    <t>標準外</t>
    <rPh sb="0" eb="2">
      <t>ヒョウジュン</t>
    </rPh>
    <rPh sb="2" eb="3">
      <t>ガイ</t>
    </rPh>
    <phoneticPr fontId="2"/>
  </si>
  <si>
    <t>発電設備等の設置場所（緯度経度）</t>
    <phoneticPr fontId="2"/>
  </si>
  <si>
    <t>希望受電電圧</t>
    <rPh sb="0" eb="2">
      <t>キボウ</t>
    </rPh>
    <rPh sb="2" eb="4">
      <t>ジュデン</t>
    </rPh>
    <rPh sb="4" eb="6">
      <t>デンアツ</t>
    </rPh>
    <phoneticPr fontId="2"/>
  </si>
  <si>
    <t>申込月日</t>
    <rPh sb="0" eb="2">
      <t>モウシコ</t>
    </rPh>
    <rPh sb="2" eb="4">
      <t>ガッピ</t>
    </rPh>
    <phoneticPr fontId="2"/>
  </si>
  <si>
    <t>大阪府</t>
  </si>
  <si>
    <t>太陽光</t>
  </si>
  <si>
    <t>大津市</t>
  </si>
  <si>
    <t>彦根市</t>
  </si>
  <si>
    <t>長浜市</t>
  </si>
  <si>
    <t>近江八幡市</t>
  </si>
  <si>
    <t>草津市</t>
  </si>
  <si>
    <t>守山市</t>
  </si>
  <si>
    <t>栗東市</t>
  </si>
  <si>
    <t>甲賀市</t>
  </si>
  <si>
    <t>野洲市</t>
  </si>
  <si>
    <t>湖南市</t>
  </si>
  <si>
    <t>高島市</t>
  </si>
  <si>
    <t>東近江市</t>
  </si>
  <si>
    <t>米原市</t>
  </si>
  <si>
    <t>日野町</t>
  </si>
  <si>
    <t>竜王町</t>
  </si>
  <si>
    <t>愛荘町</t>
  </si>
  <si>
    <t>豊郷町</t>
  </si>
  <si>
    <t>甲良町</t>
  </si>
  <si>
    <t>多賀町</t>
  </si>
  <si>
    <t>滋賀県</t>
    <rPh sb="0" eb="3">
      <t>シガケン</t>
    </rPh>
    <phoneticPr fontId="2"/>
  </si>
  <si>
    <t>京都市北区</t>
  </si>
  <si>
    <t>京都市上京区</t>
  </si>
  <si>
    <t>京都市左京区</t>
  </si>
  <si>
    <t>京都市中京区</t>
  </si>
  <si>
    <t>京都市東山区</t>
  </si>
  <si>
    <t>京都市下京区</t>
  </si>
  <si>
    <t>京都市南区</t>
  </si>
  <si>
    <t>京都市右京区</t>
  </si>
  <si>
    <t>京都市伏見区</t>
  </si>
  <si>
    <t>京都市山科区</t>
  </si>
  <si>
    <t>京都市西京区</t>
  </si>
  <si>
    <t>福知山市</t>
  </si>
  <si>
    <t>舞鶴市</t>
  </si>
  <si>
    <t>綾部市</t>
  </si>
  <si>
    <t>宇治市</t>
  </si>
  <si>
    <t>宮津市</t>
  </si>
  <si>
    <t>亀岡市</t>
  </si>
  <si>
    <t>城陽市</t>
  </si>
  <si>
    <t>向日市</t>
  </si>
  <si>
    <t>長岡京市</t>
  </si>
  <si>
    <t>八幡市</t>
  </si>
  <si>
    <t>京田辺市</t>
  </si>
  <si>
    <t>京丹後市</t>
  </si>
  <si>
    <t>南丹市</t>
  </si>
  <si>
    <t>木津川市</t>
  </si>
  <si>
    <t>乙訓郡大山崎町</t>
  </si>
  <si>
    <t>久世郡久御山町</t>
  </si>
  <si>
    <t>綴喜郡井手町</t>
  </si>
  <si>
    <t>綴喜郡宇治田原町</t>
  </si>
  <si>
    <t>相楽郡笠置町</t>
  </si>
  <si>
    <t>相楽郡和束町</t>
  </si>
  <si>
    <t>相楽郡精華町</t>
  </si>
  <si>
    <t>相楽郡南山城村</t>
  </si>
  <si>
    <t>船井郡京丹波町</t>
  </si>
  <si>
    <t>与謝郡伊根町</t>
  </si>
  <si>
    <t>与謝郡与謝野町</t>
  </si>
  <si>
    <t>京都府</t>
    <rPh sb="0" eb="3">
      <t>キョウトフ</t>
    </rPh>
    <phoneticPr fontId="2"/>
  </si>
  <si>
    <t>大阪市都島区</t>
  </si>
  <si>
    <t>大阪市福島区</t>
  </si>
  <si>
    <t>大阪市此花区</t>
  </si>
  <si>
    <t>大阪市西区</t>
  </si>
  <si>
    <t>大阪市港区</t>
  </si>
  <si>
    <t>大阪市大正区</t>
  </si>
  <si>
    <t>大阪市天王寺区</t>
  </si>
  <si>
    <t>大阪市浪速区</t>
  </si>
  <si>
    <t>大阪市西淀川区</t>
  </si>
  <si>
    <t>大阪市東淀川区</t>
  </si>
  <si>
    <t>大阪市東成区</t>
  </si>
  <si>
    <t>大阪市生野区</t>
  </si>
  <si>
    <t>大阪市旭区</t>
  </si>
  <si>
    <t>大阪市城東区</t>
  </si>
  <si>
    <t>大阪市阿倍野区</t>
  </si>
  <si>
    <t>大阪市住吉区</t>
  </si>
  <si>
    <t>大阪市東住吉区</t>
  </si>
  <si>
    <t>大阪市西成区</t>
  </si>
  <si>
    <t>大阪市淀川区</t>
  </si>
  <si>
    <t>大阪市鶴見区</t>
  </si>
  <si>
    <t>大阪市住之江区</t>
  </si>
  <si>
    <t>大阪市平野区</t>
  </si>
  <si>
    <t>大阪市北区</t>
  </si>
  <si>
    <t>大阪市中央区</t>
  </si>
  <si>
    <t>堺市堺区</t>
  </si>
  <si>
    <t>堺市中区</t>
  </si>
  <si>
    <t>堺市東区</t>
  </si>
  <si>
    <t>堺市西区</t>
  </si>
  <si>
    <t>堺市南区</t>
  </si>
  <si>
    <t>堺市北区</t>
  </si>
  <si>
    <t>堺市美原区</t>
  </si>
  <si>
    <t>岸和田市</t>
  </si>
  <si>
    <t>豊中市</t>
  </si>
  <si>
    <t>池田市</t>
  </si>
  <si>
    <t>吹田市</t>
  </si>
  <si>
    <t>泉大津市</t>
  </si>
  <si>
    <t>高槻市</t>
  </si>
  <si>
    <t>貝塚市</t>
  </si>
  <si>
    <t>守口市</t>
  </si>
  <si>
    <t>枚方市</t>
  </si>
  <si>
    <t>茨木市</t>
  </si>
  <si>
    <t>八尾市</t>
  </si>
  <si>
    <t>泉佐野市</t>
  </si>
  <si>
    <t>富田林市</t>
  </si>
  <si>
    <t>寝屋川市</t>
  </si>
  <si>
    <t>河内長野市</t>
  </si>
  <si>
    <t>松原市</t>
  </si>
  <si>
    <t>大東市</t>
  </si>
  <si>
    <t>和泉市</t>
  </si>
  <si>
    <t>箕面市</t>
  </si>
  <si>
    <t>柏原市</t>
  </si>
  <si>
    <t>羽曳野市</t>
  </si>
  <si>
    <t>門真市</t>
  </si>
  <si>
    <t>摂津市</t>
  </si>
  <si>
    <t>高石市</t>
  </si>
  <si>
    <t>藤井寺市</t>
  </si>
  <si>
    <t>東大阪市</t>
  </si>
  <si>
    <t>泉南市</t>
  </si>
  <si>
    <t>四條畷市</t>
  </si>
  <si>
    <t>交野市</t>
  </si>
  <si>
    <t>大阪狭山市</t>
  </si>
  <si>
    <t>阪南市</t>
  </si>
  <si>
    <t>三島郡島本町</t>
  </si>
  <si>
    <t>豊能郡豊能町</t>
  </si>
  <si>
    <t>豊能郡能勢町</t>
  </si>
  <si>
    <t>泉北郡忠岡町</t>
  </si>
  <si>
    <t>泉南郡熊取町</t>
  </si>
  <si>
    <t>泉南郡田尻町</t>
  </si>
  <si>
    <t>泉南郡岬町</t>
  </si>
  <si>
    <t>南河内郡太子町</t>
  </si>
  <si>
    <t>南河内郡河南町</t>
  </si>
  <si>
    <t>南河内郡千早赤阪村</t>
  </si>
  <si>
    <t>神戸市東灘区</t>
  </si>
  <si>
    <t>神戸市灘区</t>
  </si>
  <si>
    <t>神戸市兵庫区</t>
  </si>
  <si>
    <t>神戸市長田区</t>
  </si>
  <si>
    <t>神戸市須磨区</t>
  </si>
  <si>
    <t>神戸市垂水区</t>
  </si>
  <si>
    <t>神戸市北区</t>
  </si>
  <si>
    <t>神戸市中央区</t>
  </si>
  <si>
    <t>神戸市西区</t>
  </si>
  <si>
    <t>姫路市</t>
  </si>
  <si>
    <t>尼崎市</t>
  </si>
  <si>
    <t>明石市</t>
  </si>
  <si>
    <t>西宮市</t>
  </si>
  <si>
    <t>洲本市</t>
  </si>
  <si>
    <t>芦屋市</t>
  </si>
  <si>
    <t>伊丹市</t>
  </si>
  <si>
    <t>相生市</t>
  </si>
  <si>
    <t>豊岡市</t>
  </si>
  <si>
    <t>加古川市</t>
  </si>
  <si>
    <t>赤穂市</t>
  </si>
  <si>
    <t>西脇市</t>
  </si>
  <si>
    <t>宝塚市</t>
  </si>
  <si>
    <t>三木市</t>
  </si>
  <si>
    <t>高砂市</t>
  </si>
  <si>
    <t>川西市</t>
  </si>
  <si>
    <t>小野市</t>
  </si>
  <si>
    <t>三田市</t>
  </si>
  <si>
    <t>加西市</t>
  </si>
  <si>
    <t>丹波篠山市</t>
  </si>
  <si>
    <t>養父市</t>
  </si>
  <si>
    <t>丹波市</t>
  </si>
  <si>
    <t>南あわじ市</t>
  </si>
  <si>
    <t>朝来市</t>
  </si>
  <si>
    <t>淡路市</t>
  </si>
  <si>
    <t>宍粟市</t>
  </si>
  <si>
    <t>加東市</t>
  </si>
  <si>
    <t>たつの市</t>
  </si>
  <si>
    <t>川辺郡猪名川町</t>
  </si>
  <si>
    <t>多可郡多可町</t>
  </si>
  <si>
    <t>加古郡稲美町</t>
  </si>
  <si>
    <t>加古郡播磨町</t>
  </si>
  <si>
    <t>神崎郡市川町</t>
  </si>
  <si>
    <t>神崎郡福崎町</t>
  </si>
  <si>
    <t>神崎郡神河町</t>
  </si>
  <si>
    <t>揖保郡太子町</t>
  </si>
  <si>
    <t>赤穂郡上郡町</t>
  </si>
  <si>
    <t>佐用郡佐用町</t>
  </si>
  <si>
    <t>美方郡香美町</t>
  </si>
  <si>
    <t>美方郡新温泉町</t>
  </si>
  <si>
    <t>奈良市</t>
  </si>
  <si>
    <t>大和高田市</t>
  </si>
  <si>
    <t>大和郡山市</t>
  </si>
  <si>
    <t>天理市</t>
  </si>
  <si>
    <t>橿原市</t>
  </si>
  <si>
    <t>桜井市</t>
  </si>
  <si>
    <t>五條市</t>
  </si>
  <si>
    <t>御所市</t>
  </si>
  <si>
    <t>生駒市</t>
  </si>
  <si>
    <t>香芝市</t>
  </si>
  <si>
    <t>葛城市</t>
  </si>
  <si>
    <t>宇陀市</t>
  </si>
  <si>
    <t>山辺郡山添村</t>
  </si>
  <si>
    <t>生駒郡平群町</t>
  </si>
  <si>
    <t>生駒郡三郷町</t>
  </si>
  <si>
    <t>生駒郡斑鳩町</t>
  </si>
  <si>
    <t>生駒郡安堵町</t>
  </si>
  <si>
    <t>磯城郡川西町</t>
  </si>
  <si>
    <t>磯城郡三宅町</t>
  </si>
  <si>
    <t>磯城郡田原本町</t>
  </si>
  <si>
    <t>宇陀郡曽爾村</t>
  </si>
  <si>
    <t>宇陀郡御杖村</t>
  </si>
  <si>
    <t>高市郡高取町</t>
  </si>
  <si>
    <t>高市郡明日香村</t>
  </si>
  <si>
    <t>北葛城郡上牧町</t>
  </si>
  <si>
    <t>北葛城郡王寺町</t>
  </si>
  <si>
    <t>北葛城郡広陵町</t>
  </si>
  <si>
    <t>北葛城郡河合町</t>
  </si>
  <si>
    <t>吉野郡吉野町</t>
  </si>
  <si>
    <t>吉野郡大淀町</t>
  </si>
  <si>
    <t>吉野郡下市町</t>
  </si>
  <si>
    <t>吉野郡黒滝村</t>
  </si>
  <si>
    <t>吉野郡天川村</t>
  </si>
  <si>
    <t>吉野郡野迫川村</t>
  </si>
  <si>
    <t>吉野郡十津川村</t>
  </si>
  <si>
    <t>吉野郡下北山村</t>
  </si>
  <si>
    <t>吉野郡上北山村</t>
  </si>
  <si>
    <t>吉野郡川上村</t>
  </si>
  <si>
    <t>吉野郡東吉野村</t>
  </si>
  <si>
    <t>和歌山市</t>
  </si>
  <si>
    <t>海南市</t>
  </si>
  <si>
    <t>橋本市</t>
  </si>
  <si>
    <t>有田市</t>
  </si>
  <si>
    <t>御坊市</t>
  </si>
  <si>
    <t>田辺市</t>
  </si>
  <si>
    <t>新宮市</t>
  </si>
  <si>
    <t>紀の川市</t>
  </si>
  <si>
    <t>岩出市</t>
  </si>
  <si>
    <t>海草郡紀美野町</t>
  </si>
  <si>
    <t>伊都郡かつらぎ町</t>
  </si>
  <si>
    <t>伊都郡九度山町</t>
  </si>
  <si>
    <t>伊都郡高野町</t>
  </si>
  <si>
    <t>有田郡湯浅町</t>
  </si>
  <si>
    <t>有田郡広川町</t>
  </si>
  <si>
    <t>有田郡有田川町</t>
  </si>
  <si>
    <t>日高郡美浜町</t>
  </si>
  <si>
    <t>日高郡日高町</t>
  </si>
  <si>
    <t>日高郡由良町</t>
  </si>
  <si>
    <t>日高郡印南町</t>
  </si>
  <si>
    <t>日高郡みなべ町</t>
  </si>
  <si>
    <t>日高郡日高川町</t>
  </si>
  <si>
    <t>西牟婁郡白浜町</t>
  </si>
  <si>
    <t>西牟婁郡上富田町</t>
  </si>
  <si>
    <t>西牟婁郡すさみ町</t>
  </si>
  <si>
    <t>東牟婁郡那智勝浦町</t>
  </si>
  <si>
    <t>東牟婁郡太地町</t>
  </si>
  <si>
    <t>東牟婁郡古座川町</t>
  </si>
  <si>
    <t>東牟婁郡北山村</t>
  </si>
  <si>
    <t>東牟婁郡串本町</t>
  </si>
  <si>
    <t>兵庫県</t>
    <rPh sb="0" eb="3">
      <t>ヒョウゴケン</t>
    </rPh>
    <phoneticPr fontId="2"/>
  </si>
  <si>
    <t>奈良県</t>
    <rPh sb="0" eb="3">
      <t>ナラケン</t>
    </rPh>
    <phoneticPr fontId="2"/>
  </si>
  <si>
    <t>大阪府</t>
    <rPh sb="0" eb="3">
      <t>オオサカフ</t>
    </rPh>
    <phoneticPr fontId="2"/>
  </si>
  <si>
    <t>和歌山県</t>
    <rPh sb="0" eb="4">
      <t>ワカヤマケン</t>
    </rPh>
    <phoneticPr fontId="2"/>
  </si>
  <si>
    <t>福井県</t>
    <rPh sb="0" eb="3">
      <t>フクイケン</t>
    </rPh>
    <phoneticPr fontId="2"/>
  </si>
  <si>
    <t>小浜市</t>
    <rPh sb="0" eb="2">
      <t>オバマ</t>
    </rPh>
    <rPh sb="2" eb="3">
      <t>シ</t>
    </rPh>
    <phoneticPr fontId="2"/>
  </si>
  <si>
    <t>大飯郡おおい町</t>
    <rPh sb="0" eb="3">
      <t>オオイグン</t>
    </rPh>
    <rPh sb="6" eb="7">
      <t>チョウ</t>
    </rPh>
    <phoneticPr fontId="2"/>
  </si>
  <si>
    <t>大飯郡高浜町</t>
    <rPh sb="0" eb="3">
      <t>オオイグン</t>
    </rPh>
    <rPh sb="3" eb="6">
      <t>タカハマチョウ</t>
    </rPh>
    <phoneticPr fontId="2"/>
  </si>
  <si>
    <t>三方郡美浜町</t>
    <rPh sb="0" eb="2">
      <t>サンポウ</t>
    </rPh>
    <rPh sb="2" eb="3">
      <t>グン</t>
    </rPh>
    <rPh sb="3" eb="5">
      <t>ミハマ</t>
    </rPh>
    <rPh sb="5" eb="6">
      <t>チョウ</t>
    </rPh>
    <phoneticPr fontId="2"/>
  </si>
  <si>
    <t>三方上中郡若狭町</t>
    <rPh sb="0" eb="2">
      <t>サンポウ</t>
    </rPh>
    <rPh sb="2" eb="3">
      <t>ジョウ</t>
    </rPh>
    <rPh sb="3" eb="4">
      <t>ナカ</t>
    </rPh>
    <rPh sb="4" eb="5">
      <t>グン</t>
    </rPh>
    <rPh sb="5" eb="7">
      <t>ワカサ</t>
    </rPh>
    <rPh sb="7" eb="8">
      <t>チョウ</t>
    </rPh>
    <phoneticPr fontId="2"/>
  </si>
  <si>
    <t>岐阜県</t>
    <rPh sb="0" eb="3">
      <t>ギフケン</t>
    </rPh>
    <phoneticPr fontId="2"/>
  </si>
  <si>
    <t>不破郡関ケ原町</t>
    <rPh sb="0" eb="3">
      <t>フワグン</t>
    </rPh>
    <rPh sb="3" eb="6">
      <t>セキガハラ</t>
    </rPh>
    <rPh sb="6" eb="7">
      <t>チョウ</t>
    </rPh>
    <phoneticPr fontId="2"/>
  </si>
  <si>
    <t>三重県</t>
    <rPh sb="0" eb="3">
      <t>ミエケン</t>
    </rPh>
    <phoneticPr fontId="2"/>
  </si>
  <si>
    <t>熊野市</t>
    <rPh sb="0" eb="3">
      <t>クマノシ</t>
    </rPh>
    <phoneticPr fontId="2"/>
  </si>
  <si>
    <t>南牟婁郡紀宝町</t>
    <rPh sb="0" eb="4">
      <t>ミナミムログン</t>
    </rPh>
    <rPh sb="4" eb="7">
      <t>キホウチョウ</t>
    </rPh>
    <phoneticPr fontId="2"/>
  </si>
  <si>
    <t>南牟婁郡御浜町</t>
    <rPh sb="0" eb="4">
      <t>ミナミムログン</t>
    </rPh>
    <rPh sb="4" eb="6">
      <t>ミハマ</t>
    </rPh>
    <rPh sb="6" eb="7">
      <t>チョウ</t>
    </rPh>
    <phoneticPr fontId="2"/>
  </si>
  <si>
    <r>
      <t>会社名</t>
    </r>
    <r>
      <rPr>
        <sz val="11"/>
        <color rgb="FFFF0000"/>
        <rFont val="Meiryo UI"/>
        <family val="3"/>
        <charset val="128"/>
      </rPr>
      <t>*</t>
    </r>
    <rPh sb="0" eb="2">
      <t>カイシャ</t>
    </rPh>
    <rPh sb="2" eb="3">
      <t>メイ</t>
    </rPh>
    <phoneticPr fontId="2"/>
  </si>
  <si>
    <r>
      <t>所在地</t>
    </r>
    <r>
      <rPr>
        <sz val="11"/>
        <color rgb="FFFF0000"/>
        <rFont val="Meiryo UI"/>
        <family val="3"/>
        <charset val="128"/>
      </rPr>
      <t>*</t>
    </r>
    <rPh sb="0" eb="3">
      <t>ショザイチ</t>
    </rPh>
    <phoneticPr fontId="2"/>
  </si>
  <si>
    <r>
      <t>所属・担当者</t>
    </r>
    <r>
      <rPr>
        <sz val="11"/>
        <color rgb="FFFF0000"/>
        <rFont val="Meiryo UI"/>
        <family val="3"/>
        <charset val="128"/>
      </rPr>
      <t>*</t>
    </r>
    <rPh sb="0" eb="2">
      <t>ショゾク</t>
    </rPh>
    <rPh sb="3" eb="6">
      <t>タントウシャ</t>
    </rPh>
    <phoneticPr fontId="2"/>
  </si>
  <si>
    <r>
      <t>E-mail</t>
    </r>
    <r>
      <rPr>
        <sz val="11"/>
        <color rgb="FFFF0000"/>
        <rFont val="Meiryo UI"/>
        <family val="3"/>
        <charset val="128"/>
      </rPr>
      <t>*</t>
    </r>
    <phoneticPr fontId="2"/>
  </si>
  <si>
    <r>
      <t>電話番号</t>
    </r>
    <r>
      <rPr>
        <sz val="11"/>
        <color rgb="FFFF0000"/>
        <rFont val="Meiryo UI"/>
        <family val="3"/>
        <charset val="128"/>
      </rPr>
      <t>*</t>
    </r>
    <rPh sb="0" eb="2">
      <t>デンワ</t>
    </rPh>
    <rPh sb="2" eb="4">
      <t>バンゴウ</t>
    </rPh>
    <phoneticPr fontId="2"/>
  </si>
  <si>
    <r>
      <t>発電設備等の設置場所</t>
    </r>
    <r>
      <rPr>
        <sz val="11"/>
        <color rgb="FFFF0000"/>
        <rFont val="Meiryo UI"/>
        <family val="3"/>
        <charset val="128"/>
      </rPr>
      <t>*</t>
    </r>
    <rPh sb="0" eb="2">
      <t>ハツデン</t>
    </rPh>
    <rPh sb="2" eb="4">
      <t>セツビ</t>
    </rPh>
    <rPh sb="4" eb="5">
      <t>トウ</t>
    </rPh>
    <rPh sb="6" eb="8">
      <t>セッチ</t>
    </rPh>
    <rPh sb="8" eb="10">
      <t>バショ</t>
    </rPh>
    <phoneticPr fontId="2"/>
  </si>
  <si>
    <r>
      <t>発電設備等の設置場所（緯度経度）</t>
    </r>
    <r>
      <rPr>
        <sz val="9"/>
        <color rgb="FFFF0000"/>
        <rFont val="Meiryo UI"/>
        <family val="3"/>
        <charset val="128"/>
      </rPr>
      <t>*</t>
    </r>
    <rPh sb="0" eb="2">
      <t>ハツデン</t>
    </rPh>
    <rPh sb="2" eb="4">
      <t>セツビ</t>
    </rPh>
    <rPh sb="4" eb="5">
      <t>トウ</t>
    </rPh>
    <rPh sb="6" eb="8">
      <t>セッチ</t>
    </rPh>
    <rPh sb="8" eb="10">
      <t>バショ</t>
    </rPh>
    <rPh sb="11" eb="13">
      <t>イド</t>
    </rPh>
    <rPh sb="13" eb="15">
      <t>ケイド</t>
    </rPh>
    <phoneticPr fontId="2"/>
  </si>
  <si>
    <r>
      <t>発電設備等の種類</t>
    </r>
    <r>
      <rPr>
        <sz val="11"/>
        <color rgb="FFFF0000"/>
        <rFont val="Meiryo UI"/>
        <family val="3"/>
        <charset val="128"/>
      </rPr>
      <t>*</t>
    </r>
    <rPh sb="0" eb="2">
      <t>ハツデン</t>
    </rPh>
    <rPh sb="2" eb="4">
      <t>セツビ</t>
    </rPh>
    <rPh sb="4" eb="5">
      <t>トウ</t>
    </rPh>
    <rPh sb="6" eb="8">
      <t>シュルイ</t>
    </rPh>
    <phoneticPr fontId="2"/>
  </si>
  <si>
    <r>
      <t>発電設備等容量</t>
    </r>
    <r>
      <rPr>
        <sz val="11"/>
        <color rgb="FFFF0000"/>
        <rFont val="Meiryo UI"/>
        <family val="3"/>
        <charset val="128"/>
      </rPr>
      <t>*</t>
    </r>
    <rPh sb="0" eb="2">
      <t>ハツデン</t>
    </rPh>
    <rPh sb="2" eb="4">
      <t>セツビ</t>
    </rPh>
    <rPh sb="4" eb="5">
      <t>トウ</t>
    </rPh>
    <rPh sb="5" eb="7">
      <t>ヨウリョウ</t>
    </rPh>
    <phoneticPr fontId="2"/>
  </si>
  <si>
    <r>
      <t>最大受電電力</t>
    </r>
    <r>
      <rPr>
        <sz val="11"/>
        <color rgb="FFFF0000"/>
        <rFont val="Meiryo UI"/>
        <family val="3"/>
        <charset val="128"/>
      </rPr>
      <t>*</t>
    </r>
    <rPh sb="0" eb="2">
      <t>サイダイ</t>
    </rPh>
    <rPh sb="2" eb="4">
      <t>ジュデン</t>
    </rPh>
    <rPh sb="4" eb="6">
      <t>デンリョク</t>
    </rPh>
    <phoneticPr fontId="2"/>
  </si>
  <si>
    <r>
      <t>連系先一般送配電事業者
又は配電事業者</t>
    </r>
    <r>
      <rPr>
        <sz val="11"/>
        <color rgb="FFFF0000"/>
        <rFont val="Meiryo UI"/>
        <family val="3"/>
        <charset val="128"/>
      </rPr>
      <t>*</t>
    </r>
    <rPh sb="0" eb="2">
      <t>レンケイ</t>
    </rPh>
    <rPh sb="2" eb="3">
      <t>サキ</t>
    </rPh>
    <rPh sb="3" eb="5">
      <t>イッパン</t>
    </rPh>
    <rPh sb="5" eb="6">
      <t>ソウ</t>
    </rPh>
    <rPh sb="6" eb="8">
      <t>ハイデン</t>
    </rPh>
    <rPh sb="8" eb="10">
      <t>ジギョウ</t>
    </rPh>
    <rPh sb="10" eb="11">
      <t>シャ</t>
    </rPh>
    <rPh sb="12" eb="13">
      <t>マタ</t>
    </rPh>
    <rPh sb="14" eb="16">
      <t>ハイデン</t>
    </rPh>
    <rPh sb="16" eb="18">
      <t>ジギョウ</t>
    </rPh>
    <rPh sb="18" eb="19">
      <t>シャ</t>
    </rPh>
    <phoneticPr fontId="2"/>
  </si>
  <si>
    <r>
      <t>希望受電電圧</t>
    </r>
    <r>
      <rPr>
        <sz val="11"/>
        <color rgb="FFFF0000"/>
        <rFont val="Meiryo UI"/>
        <family val="3"/>
        <charset val="128"/>
      </rPr>
      <t>*</t>
    </r>
    <rPh sb="0" eb="2">
      <t>キボウ</t>
    </rPh>
    <rPh sb="2" eb="4">
      <t>ジュデン</t>
    </rPh>
    <rPh sb="4" eb="6">
      <t>デンアツ</t>
    </rPh>
    <phoneticPr fontId="2"/>
  </si>
  <si>
    <t>標準外を希望する</t>
    <rPh sb="0" eb="2">
      <t>ヒョウジュン</t>
    </rPh>
    <rPh sb="2" eb="3">
      <t>ガイ</t>
    </rPh>
    <rPh sb="4" eb="6">
      <t>キボウ</t>
    </rPh>
    <phoneticPr fontId="2"/>
  </si>
  <si>
    <t>その他</t>
    <rPh sb="2" eb="3">
      <t>タ</t>
    </rPh>
    <phoneticPr fontId="2"/>
  </si>
  <si>
    <t>富山県</t>
    <rPh sb="0" eb="2">
      <t>トヤマ</t>
    </rPh>
    <rPh sb="2" eb="3">
      <t>ケン</t>
    </rPh>
    <phoneticPr fontId="2"/>
  </si>
  <si>
    <t>長野県</t>
    <rPh sb="0" eb="2">
      <t>ナガノ</t>
    </rPh>
    <rPh sb="2" eb="3">
      <t>ケン</t>
    </rPh>
    <phoneticPr fontId="2"/>
  </si>
  <si>
    <t>発電設備等設置場所の位置図貼付け要否</t>
    <rPh sb="0" eb="2">
      <t>ハツデン</t>
    </rPh>
    <rPh sb="2" eb="4">
      <t>セツビ</t>
    </rPh>
    <rPh sb="4" eb="5">
      <t>トウ</t>
    </rPh>
    <rPh sb="5" eb="7">
      <t>セッチ</t>
    </rPh>
    <rPh sb="7" eb="9">
      <t>バショ</t>
    </rPh>
    <rPh sb="10" eb="13">
      <t>イチズ</t>
    </rPh>
    <rPh sb="13" eb="15">
      <t>ハリツ</t>
    </rPh>
    <rPh sb="16" eb="18">
      <t>ヨウヒ</t>
    </rPh>
    <phoneticPr fontId="2"/>
  </si>
  <si>
    <t>　・　発電設備等設置場所の緯度経度情報および位置図</t>
    <rPh sb="13" eb="15">
      <t>イド</t>
    </rPh>
    <rPh sb="15" eb="17">
      <t>ケイド</t>
    </rPh>
    <rPh sb="17" eb="19">
      <t>ジョウホウ</t>
    </rPh>
    <phoneticPr fontId="2"/>
  </si>
  <si>
    <t>◆発電設備等設置場所の緯度経度情報および位置図</t>
    <rPh sb="11" eb="13">
      <t>イド</t>
    </rPh>
    <rPh sb="13" eb="15">
      <t>ケイド</t>
    </rPh>
    <rPh sb="15" eb="17">
      <t>ジョウホウ</t>
    </rPh>
    <phoneticPr fontId="2"/>
  </si>
  <si>
    <t>"要"の場合は「申込書」シートへ位置図貼付けをお願いします。</t>
    <rPh sb="1" eb="2">
      <t>ヨウ</t>
    </rPh>
    <rPh sb="4" eb="6">
      <t>バアイ</t>
    </rPh>
    <rPh sb="8" eb="10">
      <t>モウシコミ</t>
    </rPh>
    <rPh sb="10" eb="11">
      <t>ショ</t>
    </rPh>
    <rPh sb="16" eb="19">
      <t>イチズ</t>
    </rPh>
    <rPh sb="19" eb="21">
      <t>ハリツ</t>
    </rPh>
    <rPh sb="24" eb="25">
      <t>ネガ</t>
    </rPh>
    <phoneticPr fontId="2"/>
  </si>
  <si>
    <r>
      <t>申込月日</t>
    </r>
    <r>
      <rPr>
        <sz val="11"/>
        <color rgb="FFFF0000"/>
        <rFont val="Meiryo UI"/>
        <family val="3"/>
        <charset val="128"/>
      </rPr>
      <t>*</t>
    </r>
    <rPh sb="0" eb="2">
      <t>モウシコ</t>
    </rPh>
    <rPh sb="2" eb="4">
      <t>ガッピ</t>
    </rPh>
    <phoneticPr fontId="2"/>
  </si>
  <si>
    <t>*黄色ハッチング箇所が必須入力項目になります。</t>
    <phoneticPr fontId="2"/>
  </si>
  <si>
    <t>都道府県</t>
    <rPh sb="0" eb="4">
      <t>トドウフケン</t>
    </rPh>
    <phoneticPr fontId="2"/>
  </si>
  <si>
    <t>市区町村</t>
    <rPh sb="0" eb="2">
      <t>シク</t>
    </rPh>
    <rPh sb="2" eb="4">
      <t>チョウソン</t>
    </rPh>
    <phoneticPr fontId="2"/>
  </si>
  <si>
    <t>番地以降</t>
    <rPh sb="0" eb="2">
      <t>バンチ</t>
    </rPh>
    <rPh sb="2" eb="4">
      <t>イコウ</t>
    </rPh>
    <phoneticPr fontId="2"/>
  </si>
  <si>
    <t>・発電設備等の設置場所（受電希望地点）の緯度経度を任意の方法で取得してください。</t>
    <rPh sb="1" eb="3">
      <t>ハツデン</t>
    </rPh>
    <rPh sb="3" eb="5">
      <t>セツビ</t>
    </rPh>
    <rPh sb="5" eb="6">
      <t>トウ</t>
    </rPh>
    <rPh sb="7" eb="9">
      <t>セッチ</t>
    </rPh>
    <rPh sb="9" eb="11">
      <t>バショ</t>
    </rPh>
    <rPh sb="12" eb="14">
      <t>ジュデン</t>
    </rPh>
    <rPh sb="14" eb="16">
      <t>キボウ</t>
    </rPh>
    <rPh sb="16" eb="18">
      <t>チテン</t>
    </rPh>
    <rPh sb="20" eb="22">
      <t>イド</t>
    </rPh>
    <rPh sb="22" eb="24">
      <t>ケイド</t>
    </rPh>
    <rPh sb="25" eb="27">
      <t>ニンイ</t>
    </rPh>
    <rPh sb="28" eb="30">
      <t>ホウホウ</t>
    </rPh>
    <rPh sb="31" eb="33">
      <t>シュトク</t>
    </rPh>
    <phoneticPr fontId="2"/>
  </si>
  <si>
    <t>リンク</t>
  </si>
  <si>
    <t>＜Google mapからの取得方法はこちら＞⇒</t>
    <rPh sb="14" eb="16">
      <t>シュトク</t>
    </rPh>
    <rPh sb="16" eb="18">
      <t>ホウホウ</t>
    </rPh>
    <phoneticPr fontId="2"/>
  </si>
  <si>
    <t>＜国土地理院地図からの取得方法はこちら＞⇒</t>
    <rPh sb="1" eb="3">
      <t>コクド</t>
    </rPh>
    <rPh sb="3" eb="5">
      <t>チリ</t>
    </rPh>
    <rPh sb="5" eb="6">
      <t>イン</t>
    </rPh>
    <rPh sb="6" eb="8">
      <t>チズ</t>
    </rPh>
    <rPh sb="11" eb="13">
      <t>シュトク</t>
    </rPh>
    <rPh sb="13" eb="15">
      <t>ホウホウ</t>
    </rPh>
    <phoneticPr fontId="2"/>
  </si>
  <si>
    <t>緯度経度取得方法はこちら</t>
    <rPh sb="0" eb="2">
      <t>イド</t>
    </rPh>
    <rPh sb="2" eb="4">
      <t>ケイド</t>
    </rPh>
    <rPh sb="4" eb="6">
      <t>シュトク</t>
    </rPh>
    <rPh sb="6" eb="8">
      <t>ホウホウ</t>
    </rPh>
    <phoneticPr fontId="2"/>
  </si>
  <si>
    <t>緯度経度情報の取得について</t>
    <rPh sb="0" eb="2">
      <t>イド</t>
    </rPh>
    <rPh sb="2" eb="4">
      <t>ケイド</t>
    </rPh>
    <rPh sb="4" eb="6">
      <t>ジョウホウ</t>
    </rPh>
    <rPh sb="7" eb="9">
      <t>シュトク</t>
    </rPh>
    <phoneticPr fontId="2"/>
  </si>
  <si>
    <t>入力欄</t>
    <rPh sb="0" eb="2">
      <t>ニュウリョク</t>
    </rPh>
    <rPh sb="2" eb="3">
      <t>ラン</t>
    </rPh>
    <phoneticPr fontId="2"/>
  </si>
  <si>
    <t>変換結果</t>
    <rPh sb="0" eb="2">
      <t>ヘンカン</t>
    </rPh>
    <rPh sb="2" eb="4">
      <t>ケッカ</t>
    </rPh>
    <phoneticPr fontId="2"/>
  </si>
  <si>
    <t>10進法</t>
    <rPh sb="2" eb="4">
      <t>シンホウ</t>
    </rPh>
    <phoneticPr fontId="2"/>
  </si>
  <si>
    <t>60進法</t>
    <rPh sb="2" eb="4">
      <t>シンホウ</t>
    </rPh>
    <phoneticPr fontId="2"/>
  </si>
  <si>
    <t>例</t>
    <rPh sb="0" eb="1">
      <t>レイ</t>
    </rPh>
    <phoneticPr fontId="2"/>
  </si>
  <si>
    <t>34度41分33.46秒</t>
    <phoneticPr fontId="2"/>
  </si>
  <si>
    <t>135度29分32.95秒</t>
    <phoneticPr fontId="2"/>
  </si>
  <si>
    <t>＜60進法→10進法変換表＞</t>
    <rPh sb="3" eb="5">
      <t>シンホウ</t>
    </rPh>
    <rPh sb="8" eb="10">
      <t>シンホウ</t>
    </rPh>
    <rPh sb="10" eb="12">
      <t>ヘンカン</t>
    </rPh>
    <rPh sb="12" eb="13">
      <t>ヒョウ</t>
    </rPh>
    <phoneticPr fontId="2"/>
  </si>
  <si>
    <t>←変換結果を入力フォームへ入力してください。</t>
    <rPh sb="1" eb="3">
      <t>ヘンカン</t>
    </rPh>
    <rPh sb="3" eb="5">
      <t>ケッカ</t>
    </rPh>
    <rPh sb="6" eb="8">
      <t>ニュウリョク</t>
    </rPh>
    <rPh sb="13" eb="15">
      <t>ニュウリョク</t>
    </rPh>
    <phoneticPr fontId="2"/>
  </si>
  <si>
    <t>60進法：(緯度)〇〇度〇〇分〇〇秒 (経度)〇〇〇度〇〇分〇〇秒</t>
    <rPh sb="2" eb="4">
      <t>シンホウ</t>
    </rPh>
    <rPh sb="6" eb="8">
      <t>イド</t>
    </rPh>
    <rPh sb="11" eb="12">
      <t>ド</t>
    </rPh>
    <rPh sb="14" eb="15">
      <t>フン</t>
    </rPh>
    <rPh sb="17" eb="18">
      <t>ビョウ</t>
    </rPh>
    <rPh sb="20" eb="22">
      <t>ケイド</t>
    </rPh>
    <phoneticPr fontId="2"/>
  </si>
  <si>
    <t>・緯度経度は10進法で記入をお願いします。</t>
    <rPh sb="1" eb="3">
      <t>イド</t>
    </rPh>
    <rPh sb="3" eb="5">
      <t>ケイド</t>
    </rPh>
    <rPh sb="8" eb="10">
      <t>シンホウ</t>
    </rPh>
    <rPh sb="11" eb="13">
      <t>キニュウ</t>
    </rPh>
    <rPh sb="15" eb="16">
      <t>ネガ</t>
    </rPh>
    <phoneticPr fontId="2"/>
  </si>
  <si>
    <t>10進法：(緯度)〇〇.〇〇〇〇 (経度)〇〇〇.〇〇〇〇　</t>
    <rPh sb="2" eb="4">
      <t>シンホウ</t>
    </rPh>
    <rPh sb="6" eb="8">
      <t>イド</t>
    </rPh>
    <rPh sb="18" eb="20">
      <t>ケイド</t>
    </rPh>
    <phoneticPr fontId="2"/>
  </si>
  <si>
    <t>緯度</t>
    <rPh sb="0" eb="2">
      <t>イド</t>
    </rPh>
    <phoneticPr fontId="2"/>
  </si>
  <si>
    <t>経度</t>
    <rPh sb="0" eb="2">
      <t>ケイド</t>
    </rPh>
    <phoneticPr fontId="2"/>
  </si>
  <si>
    <t>緯度</t>
    <rPh sb="0" eb="2">
      <t>イド</t>
    </rPh>
    <phoneticPr fontId="2"/>
  </si>
  <si>
    <t>経度</t>
    <rPh sb="0" eb="2">
      <t>ケイド</t>
    </rPh>
    <phoneticPr fontId="2"/>
  </si>
  <si>
    <t>〇〇〇〇丁目ー〇</t>
    <rPh sb="4" eb="6">
      <t>チョウメ</t>
    </rPh>
    <phoneticPr fontId="2"/>
  </si>
  <si>
    <t>愛知県</t>
    <rPh sb="0" eb="3">
      <t>アイチケン</t>
    </rPh>
    <phoneticPr fontId="2"/>
  </si>
  <si>
    <t>石川県</t>
    <rPh sb="0" eb="2">
      <t>イシカワ</t>
    </rPh>
    <rPh sb="2" eb="3">
      <t>ケン</t>
    </rPh>
    <phoneticPr fontId="2"/>
  </si>
  <si>
    <t>その他</t>
    <rPh sb="2" eb="3">
      <t>タ</t>
    </rPh>
    <phoneticPr fontId="2"/>
  </si>
  <si>
    <t>吉田郡永平寺町</t>
  </si>
  <si>
    <t>坂井市</t>
  </si>
  <si>
    <t>高山市</t>
    <rPh sb="0" eb="3">
      <t>タカヤマシ</t>
    </rPh>
    <phoneticPr fontId="2"/>
  </si>
  <si>
    <t>飛騨市</t>
    <rPh sb="0" eb="2">
      <t>ヒダ</t>
    </rPh>
    <rPh sb="2" eb="3">
      <t>シ</t>
    </rPh>
    <phoneticPr fontId="2"/>
  </si>
  <si>
    <t>いなべ市</t>
    <rPh sb="3" eb="4">
      <t>シ</t>
    </rPh>
    <phoneticPr fontId="2"/>
  </si>
  <si>
    <t>桑名市</t>
    <rPh sb="0" eb="3">
      <t>クワナシ</t>
    </rPh>
    <phoneticPr fontId="2"/>
  </si>
  <si>
    <t>四日市市</t>
    <rPh sb="0" eb="3">
      <t>ヨッカイチ</t>
    </rPh>
    <rPh sb="3" eb="4">
      <t>シ</t>
    </rPh>
    <phoneticPr fontId="2"/>
  </si>
  <si>
    <t>員弁郡東員町</t>
  </si>
  <si>
    <t>桑名郡木曽岬町</t>
  </si>
  <si>
    <t>三重郡朝日町</t>
  </si>
  <si>
    <t>三重郡川越町</t>
  </si>
  <si>
    <t>三重郡菰野町</t>
  </si>
  <si>
    <t>34.〇〇〇〇〇〇</t>
    <phoneticPr fontId="2"/>
  </si>
  <si>
    <t>135.〇〇〇〇〇〇</t>
    <phoneticPr fontId="2"/>
  </si>
  <si>
    <t>(緯度)</t>
    <rPh sb="1" eb="3">
      <t>イド</t>
    </rPh>
    <phoneticPr fontId="2"/>
  </si>
  <si>
    <t>(経度)</t>
    <rPh sb="1" eb="3">
      <t>ケイド</t>
    </rPh>
    <phoneticPr fontId="2"/>
  </si>
  <si>
    <t>様式 CK1-20240801</t>
    <rPh sb="0" eb="2">
      <t>ヨウシキ</t>
    </rPh>
    <phoneticPr fontId="2"/>
  </si>
  <si>
    <t xml:space="preserve">※1 希望する送配電設備の連系点がありましたら、電柱番号・送電線名等をご記入ください。
※2 電力系統側に流出する最大電力（発電設備容量－自家消費電力）をご記入ください（自家消費電力が不明の場合は記入不要です。）。
※3 希望する連系電圧をご記入ください。
</t>
    <phoneticPr fontId="2"/>
  </si>
  <si>
    <r>
      <t>希望連系点</t>
    </r>
    <r>
      <rPr>
        <vertAlign val="superscript"/>
        <sz val="11"/>
        <rFont val="ＭＳ 明朝"/>
        <family val="1"/>
        <charset val="128"/>
      </rPr>
      <t>※1</t>
    </r>
    <rPh sb="0" eb="2">
      <t>キボウ</t>
    </rPh>
    <rPh sb="2" eb="4">
      <t>レンケイ</t>
    </rPh>
    <rPh sb="4" eb="5">
      <t>テン</t>
    </rPh>
    <phoneticPr fontId="2"/>
  </si>
  <si>
    <r>
      <t>最大受電電力</t>
    </r>
    <r>
      <rPr>
        <vertAlign val="superscript"/>
        <sz val="11"/>
        <color theme="1"/>
        <rFont val="ＭＳ 明朝"/>
        <family val="1"/>
        <charset val="128"/>
      </rPr>
      <t>※2</t>
    </r>
    <rPh sb="0" eb="6">
      <t>サイダイジュデンデンリョク</t>
    </rPh>
    <phoneticPr fontId="2"/>
  </si>
  <si>
    <r>
      <t>希望受電電圧</t>
    </r>
    <r>
      <rPr>
        <vertAlign val="superscript"/>
        <sz val="11"/>
        <color theme="1"/>
        <rFont val="ＭＳ 明朝"/>
        <family val="1"/>
        <charset val="128"/>
      </rPr>
      <t>※3</t>
    </r>
    <rPh sb="0" eb="2">
      <t>キボウ</t>
    </rPh>
    <rPh sb="2" eb="4">
      <t>ジュデン</t>
    </rPh>
    <rPh sb="4" eb="6">
      <t>デンアツ</t>
    </rPh>
    <phoneticPr fontId="2"/>
  </si>
  <si>
    <r>
      <rPr>
        <sz val="10"/>
        <color theme="1"/>
        <rFont val="ＭＳ ゴシック"/>
        <family val="3"/>
        <charset val="128"/>
      </rPr>
      <t>＜注意事項＞</t>
    </r>
    <r>
      <rPr>
        <sz val="10"/>
        <color theme="1"/>
        <rFont val="ＭＳ 明朝"/>
        <family val="1"/>
        <charset val="128"/>
      </rPr>
      <t xml:space="preserve">
・ 特別高圧以上の送電系統に関しては、各一般送配電事業者がホームページ上で公表している系統
　 連系制約マッピング情報でも連系制限が想定される地域を確認することができます。
・ 申込書１枚につき１箇所の連系点について確認いたします。検討料は不要です。
・ 本申込書に対する回答内容は以下のとおりです。
</t>
    </r>
    <r>
      <rPr>
        <sz val="10"/>
        <color theme="1"/>
        <rFont val="ＭＳ ゴシック"/>
        <family val="3"/>
        <charset val="128"/>
      </rPr>
      <t>【希望受電電圧が高圧であって、配電用変電所が存在する送電系統の場合】</t>
    </r>
    <r>
      <rPr>
        <sz val="10"/>
        <color theme="1"/>
        <rFont val="ＭＳ 明朝"/>
        <family val="1"/>
        <charset val="128"/>
      </rPr>
      <t xml:space="preserve">
　(1)配電用変電所における配電用変圧器の熱容量に起因する連系制限の有無。連系制限がある場合
　　には配電用変電所における配電用変圧器の熱容量から算定される連系可能な最大受電電力
　(2)最大受電電力に対してバンク逆潮流（配電用変電所における配電用変圧器の高圧側から特別高
　　圧側に流れる潮流をいいます。）の発生に伴う連系制限がある場合は、バンク逆潮流の対策工事
　　を実施せずに連系可能な最大受電電力。
　(3)想定する連系点から連系を予定する配電用変電所までの既設配電線路亘長
</t>
    </r>
    <r>
      <rPr>
        <sz val="10"/>
        <color theme="1"/>
        <rFont val="ＭＳ ゴシック"/>
        <family val="3"/>
        <charset val="128"/>
      </rPr>
      <t>【希望受電電圧が高圧であって、配電用変電所が存在しない一部の離島系統の場合】</t>
    </r>
    <r>
      <rPr>
        <sz val="10"/>
        <color theme="1"/>
        <rFont val="ＭＳ 明朝"/>
        <family val="1"/>
        <charset val="128"/>
      </rPr>
      <t xml:space="preserve">
　(1)高圧流通設備の熱容量に起因する連系制限の有無。連系制限がある場合には高圧流通設備の熱
　　容量から算定される連系可能な最大受電電力
　(2)想定する連系点から始点となる電気所までの既設高圧流通設備の線路亘長
</t>
    </r>
    <r>
      <rPr>
        <sz val="10"/>
        <color theme="1"/>
        <rFont val="ＭＳ ゴシック"/>
        <family val="3"/>
        <charset val="128"/>
      </rPr>
      <t>【希望受電電圧が特別高圧である場合】</t>
    </r>
    <r>
      <rPr>
        <sz val="10"/>
        <color theme="1"/>
        <rFont val="ＭＳ 明朝"/>
        <family val="1"/>
        <charset val="128"/>
      </rPr>
      <t xml:space="preserve">
　(1)送変電設備の熱容量に起因する連系制限の有無。連系制限がある場合には送変電設備の熱容量
　　から算定される連系可能な最大受電電力
　(2)想定する連系点から発電設備等の設置場所までの直線距離
・本申込書に対する回答内容は、希望する送電系統への連系可否を確定するものではありません。
・本申込書により得た依頼者等の情報については、連系制限有無の確認および申込状況の管理、統計
  に使用されます。また、電力広域的運営推進機関の送配電等業務指針に基づき、一般送配電事業者
  又は配電事業者に依頼された申込内容の一部を電力広域的運営推進機関に報告する場合があります。
　</t>
    </r>
    <r>
      <rPr>
        <sz val="8"/>
        <color theme="1"/>
        <rFont val="ＭＳ 明朝"/>
        <family val="1"/>
        <charset val="128"/>
      </rPr>
      <t>※　連系制限とは既設送変電設備の空き容量不足等により設備増強（アクセス線新設を除く）が必要な場合をいいます。</t>
    </r>
    <rPh sb="840" eb="841">
      <t>マタ</t>
    </rPh>
    <phoneticPr fontId="2"/>
  </si>
  <si>
    <r>
      <rPr>
        <sz val="10"/>
        <color theme="1"/>
        <rFont val="Meiryo UI"/>
        <family val="3"/>
        <charset val="128"/>
      </rPr>
      <t>　</t>
    </r>
    <r>
      <rPr>
        <u/>
        <sz val="10"/>
        <color theme="1"/>
        <rFont val="Meiryo UI"/>
        <family val="3"/>
        <charset val="128"/>
      </rPr>
      <t>※60進法で取得された場合は以下黄色枠へ数値入力し、10進法へ変換のうえ記入をお願いします。</t>
    </r>
    <rPh sb="4" eb="6">
      <t>シンホウ</t>
    </rPh>
    <rPh sb="7" eb="9">
      <t>シュトク</t>
    </rPh>
    <rPh sb="12" eb="14">
      <t>バアイ</t>
    </rPh>
    <rPh sb="15" eb="17">
      <t>イカ</t>
    </rPh>
    <rPh sb="17" eb="19">
      <t>キイロ</t>
    </rPh>
    <rPh sb="19" eb="20">
      <t>ワク</t>
    </rPh>
    <rPh sb="21" eb="23">
      <t>スウチ</t>
    </rPh>
    <rPh sb="23" eb="25">
      <t>ニュウリョク</t>
    </rPh>
    <rPh sb="29" eb="31">
      <t>シンホウ</t>
    </rPh>
    <rPh sb="32" eb="34">
      <t>ヘンカン</t>
    </rPh>
    <rPh sb="37" eb="39">
      <t>キニュウ</t>
    </rPh>
    <rPh sb="41" eb="42">
      <t>ネガ</t>
    </rPh>
    <phoneticPr fontId="2"/>
  </si>
  <si>
    <t>　受電希望地点の緯度経度情報をご提示いただくことで、住所情報で検討するより精度の高い回答が可能となります。</t>
    <rPh sb="1" eb="3">
      <t>ジュデン</t>
    </rPh>
    <rPh sb="3" eb="5">
      <t>キボウ</t>
    </rPh>
    <rPh sb="5" eb="7">
      <t>チテン</t>
    </rPh>
    <rPh sb="8" eb="10">
      <t>イド</t>
    </rPh>
    <rPh sb="10" eb="12">
      <t>ケイド</t>
    </rPh>
    <rPh sb="12" eb="14">
      <t>ジョウホウ</t>
    </rPh>
    <rPh sb="16" eb="18">
      <t>テイジ</t>
    </rPh>
    <rPh sb="26" eb="28">
      <t>ジュウショ</t>
    </rPh>
    <rPh sb="28" eb="30">
      <t>ジョウホウ</t>
    </rPh>
    <rPh sb="31" eb="33">
      <t>ケントウ</t>
    </rPh>
    <rPh sb="37" eb="39">
      <t>セイド</t>
    </rPh>
    <rPh sb="40" eb="41">
      <t>タカ</t>
    </rPh>
    <rPh sb="42" eb="44">
      <t>カイトウ</t>
    </rPh>
    <rPh sb="45" eb="47">
      <t>カノウ</t>
    </rPh>
    <phoneticPr fontId="2"/>
  </si>
  <si>
    <t>関西電力送配電株式会社</t>
  </si>
  <si>
    <t>関西電力送配電社内利用シート</t>
    <rPh sb="0" eb="2">
      <t>カンサイ</t>
    </rPh>
    <rPh sb="2" eb="4">
      <t>デンリョク</t>
    </rPh>
    <rPh sb="4" eb="5">
      <t>ソウ</t>
    </rPh>
    <rPh sb="5" eb="7">
      <t>ハイデン</t>
    </rPh>
    <rPh sb="7" eb="9">
      <t>シャナイ</t>
    </rPh>
    <rPh sb="9" eb="11">
      <t>リヨウ</t>
    </rPh>
    <phoneticPr fontId="2"/>
  </si>
  <si>
    <t>関西電力送配電社内の検討用として活用します。</t>
    <rPh sb="0" eb="2">
      <t>カンサイ</t>
    </rPh>
    <rPh sb="2" eb="4">
      <t>デンリョク</t>
    </rPh>
    <rPh sb="4" eb="5">
      <t>ソウ</t>
    </rPh>
    <rPh sb="5" eb="7">
      <t>ハイデン</t>
    </rPh>
    <rPh sb="7" eb="9">
      <t>シャナイ</t>
    </rPh>
    <rPh sb="8" eb="9">
      <t>ナイ</t>
    </rPh>
    <rPh sb="10" eb="12">
      <t>ケントウ</t>
    </rPh>
    <rPh sb="12" eb="13">
      <t>ヨウ</t>
    </rPh>
    <rPh sb="16" eb="18">
      <t>カツヨウ</t>
    </rPh>
    <phoneticPr fontId="2"/>
  </si>
  <si>
    <r>
      <rPr>
        <b/>
        <sz val="11"/>
        <rFont val="Meiryo UI"/>
        <family val="3"/>
        <charset val="128"/>
      </rPr>
      <t>●</t>
    </r>
    <r>
      <rPr>
        <b/>
        <u/>
        <sz val="11"/>
        <rFont val="Meiryo UI"/>
        <family val="3"/>
        <charset val="128"/>
      </rPr>
      <t>発電設備等設置場所特定</t>
    </r>
    <rPh sb="1" eb="3">
      <t>ハツデン</t>
    </rPh>
    <rPh sb="3" eb="5">
      <t>セツビ</t>
    </rPh>
    <rPh sb="5" eb="6">
      <t>トウ</t>
    </rPh>
    <rPh sb="6" eb="8">
      <t>セッチ</t>
    </rPh>
    <rPh sb="8" eb="10">
      <t>バショ</t>
    </rPh>
    <rPh sb="10" eb="12">
      <t>トクテイ</t>
    </rPh>
    <phoneticPr fontId="2"/>
  </si>
  <si>
    <r>
      <rPr>
        <b/>
        <sz val="11"/>
        <rFont val="Meiryo UI"/>
        <family val="3"/>
        <charset val="128"/>
      </rPr>
      <t>●</t>
    </r>
    <r>
      <rPr>
        <b/>
        <u/>
        <sz val="11"/>
        <rFont val="Meiryo UI"/>
        <family val="3"/>
        <charset val="128"/>
      </rPr>
      <t>入力内容転記用</t>
    </r>
    <rPh sb="1" eb="3">
      <t>ニュウリョク</t>
    </rPh>
    <rPh sb="3" eb="5">
      <t>ナイヨウ</t>
    </rPh>
    <rPh sb="5" eb="7">
      <t>テンキ</t>
    </rPh>
    <rPh sb="7" eb="8">
      <t>テンヨウ</t>
    </rPh>
    <phoneticPr fontId="2"/>
  </si>
  <si>
    <t>E-mail*</t>
  </si>
  <si>
    <t>FAX</t>
  </si>
  <si>
    <t>kW</t>
  </si>
  <si>
    <t>高圧連系</t>
  </si>
  <si>
    <t>kV</t>
  </si>
  <si>
    <t>要</t>
  </si>
  <si>
    <t>-</t>
    <phoneticPr fontId="2"/>
  </si>
  <si>
    <t>関西　２１号</t>
    <rPh sb="0" eb="2">
      <t>カンサイ</t>
    </rPh>
    <rPh sb="5" eb="6">
      <t>ゴウ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</si>
</sst>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gge&quot;年&quot;m&quot;月&quot;d&quot;日&quot;;@"/>
    <numFmt numFmtId="177" formatCode="#,##0_ "/>
    <numFmt numFmtId="178" formatCode="yyyy&quot;年&quot;m&quot;月&quot;d&quot;日&quot;;@"/>
  </numFmts>
  <fonts count="55">
    <font>
      <sz val="11"/>
      <color theme="1"/>
      <name val="ＭＳ Ｐゴシック"/>
      <family val="2"/>
      <charset val="128"/>
      <scheme val="minor"/>
    </font>
    <font>
      <sz val="11"/>
      <color rgb="FFFF0000"/>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1"/>
      <color theme="1"/>
      <name val="ＭＳ Ｐ明朝"/>
      <family val="1"/>
      <charset val="128"/>
    </font>
    <font>
      <sz val="11"/>
      <color theme="1"/>
      <name val="ＭＳ 明朝"/>
      <family val="1"/>
      <charset val="128"/>
    </font>
    <font>
      <sz val="8"/>
      <color theme="1"/>
      <name val="ＭＳ Ｐゴシック"/>
      <family val="2"/>
      <charset val="128"/>
      <scheme val="minor"/>
    </font>
    <font>
      <sz val="11"/>
      <color rgb="FFFF0000"/>
      <name val="ＭＳ Ｐゴシック"/>
      <family val="3"/>
      <charset val="128"/>
      <scheme val="minor"/>
    </font>
    <font>
      <sz val="9"/>
      <color rgb="FFFF0000"/>
      <name val="ＭＳ Ｐゴシック"/>
      <family val="3"/>
      <charset val="128"/>
      <scheme val="minor"/>
    </font>
    <font>
      <b/>
      <sz val="14"/>
      <color theme="1"/>
      <name val="ＭＳ ゴシック"/>
      <family val="3"/>
      <charset val="128"/>
    </font>
    <font>
      <sz val="9"/>
      <color theme="1"/>
      <name val="ＭＳ ゴシック"/>
      <family val="3"/>
      <charset val="128"/>
    </font>
    <font>
      <vertAlign val="superscript"/>
      <sz val="11"/>
      <color theme="1"/>
      <name val="ＭＳ 明朝"/>
      <family val="1"/>
      <charset val="128"/>
    </font>
    <font>
      <sz val="10.5"/>
      <color theme="1"/>
      <name val="ＭＳ Ｐゴシック"/>
      <family val="2"/>
      <charset val="128"/>
      <scheme val="minor"/>
    </font>
    <font>
      <sz val="10"/>
      <color theme="1"/>
      <name val="ＭＳ 明朝"/>
      <family val="1"/>
      <charset val="128"/>
    </font>
    <font>
      <sz val="10.5"/>
      <color theme="1"/>
      <name val="ＭＳ 明朝"/>
      <family val="1"/>
      <charset val="128"/>
    </font>
    <font>
      <u/>
      <sz val="11"/>
      <color theme="10"/>
      <name val="ＭＳ Ｐゴシック"/>
      <family val="2"/>
      <charset val="128"/>
      <scheme val="minor"/>
    </font>
    <font>
      <sz val="11"/>
      <name val="ＭＳ Ｐゴシック"/>
      <family val="3"/>
      <charset val="128"/>
    </font>
    <font>
      <sz val="10"/>
      <color theme="1"/>
      <name val="ＭＳ ゴシック"/>
      <family val="3"/>
      <charset val="128"/>
    </font>
    <font>
      <b/>
      <sz val="11"/>
      <color theme="1"/>
      <name val="ＭＳ ゴシック"/>
      <family val="3"/>
      <charset val="128"/>
    </font>
    <font>
      <sz val="11"/>
      <color theme="1"/>
      <name val="ＭＳ ゴシック"/>
      <family val="3"/>
      <charset val="128"/>
    </font>
    <font>
      <sz val="8"/>
      <color theme="1"/>
      <name val="ＭＳ 明朝"/>
      <family val="1"/>
      <charset val="128"/>
    </font>
    <font>
      <sz val="11"/>
      <color theme="1"/>
      <name val="ＭＳ Ｐゴシック"/>
      <family val="2"/>
      <charset val="128"/>
      <scheme val="minor"/>
    </font>
    <font>
      <sz val="11"/>
      <color theme="1"/>
      <name val="Meiryo UI"/>
      <family val="3"/>
      <charset val="128"/>
    </font>
    <font>
      <sz val="26"/>
      <color rgb="FFFF0000"/>
      <name val="ＭＳ Ｐゴシック"/>
      <family val="3"/>
      <charset val="128"/>
      <scheme val="minor"/>
    </font>
    <font>
      <sz val="11"/>
      <name val="Meiryo UI"/>
      <family val="3"/>
      <charset val="128"/>
    </font>
    <font>
      <sz val="11"/>
      <name val="ＭＳ Ｐゴシック"/>
      <family val="2"/>
      <charset val="128"/>
      <scheme val="minor"/>
    </font>
    <font>
      <sz val="11"/>
      <name val="ＭＳ Ｐゴシック"/>
      <family val="3"/>
      <charset val="128"/>
      <scheme val="minor"/>
    </font>
    <font>
      <sz val="11"/>
      <color theme="1"/>
      <name val="Wingdings"/>
      <charset val="2"/>
    </font>
    <font>
      <sz val="11"/>
      <color theme="1"/>
      <name val="ＭＳ Ｐゴシック"/>
      <family val="3"/>
      <charset val="128"/>
    </font>
    <font>
      <sz val="11"/>
      <name val="ＭＳ 明朝"/>
      <family val="1"/>
      <charset val="128"/>
    </font>
    <font>
      <sz val="10"/>
      <name val="ＭＳ Ｐゴシック"/>
      <family val="2"/>
      <charset val="128"/>
      <scheme val="minor"/>
    </font>
    <font>
      <sz val="10"/>
      <name val="ＭＳ Ｐゴシック"/>
      <family val="3"/>
      <charset val="128"/>
      <scheme val="minor"/>
    </font>
    <font>
      <vertAlign val="superscript"/>
      <sz val="11"/>
      <name val="ＭＳ 明朝"/>
      <family val="1"/>
      <charset val="128"/>
    </font>
    <font>
      <sz val="9"/>
      <color theme="1"/>
      <name val="Meiryo UI"/>
      <family val="3"/>
      <charset val="128"/>
    </font>
    <font>
      <b/>
      <sz val="9"/>
      <color indexed="81"/>
      <name val="MS P ゴシック"/>
      <family val="3"/>
      <charset val="128"/>
    </font>
    <font>
      <sz val="11"/>
      <color rgb="FFFF0000"/>
      <name val="Meiryo UI"/>
      <family val="3"/>
      <charset val="128"/>
    </font>
    <font>
      <sz val="9"/>
      <color rgb="FFFF0000"/>
      <name val="Meiryo UI"/>
      <family val="3"/>
      <charset val="128"/>
    </font>
    <font>
      <sz val="9"/>
      <color theme="1"/>
      <name val="ＭＳ Ｐゴシック"/>
      <family val="3"/>
      <charset val="128"/>
    </font>
    <font>
      <sz val="8"/>
      <color theme="1"/>
      <name val="Meiryo UI"/>
      <family val="3"/>
      <charset val="128"/>
    </font>
    <font>
      <u/>
      <sz val="9"/>
      <color theme="10"/>
      <name val="ＭＳ Ｐゴシック"/>
      <family val="2"/>
      <charset val="128"/>
      <scheme val="minor"/>
    </font>
    <font>
      <u/>
      <sz val="9"/>
      <color theme="10"/>
      <name val="ＭＳ Ｐゴシック"/>
      <family val="3"/>
      <charset val="128"/>
      <scheme val="minor"/>
    </font>
    <font>
      <b/>
      <sz val="11"/>
      <color rgb="FFFF0000"/>
      <name val="Meiryo UI"/>
      <family val="3"/>
      <charset val="128"/>
    </font>
    <font>
      <u/>
      <sz val="11"/>
      <color theme="10"/>
      <name val="Meiryo UI"/>
      <family val="3"/>
      <charset val="128"/>
    </font>
    <font>
      <sz val="10"/>
      <color theme="1"/>
      <name val="Meiryo UI"/>
      <family val="3"/>
      <charset val="128"/>
    </font>
    <font>
      <b/>
      <u/>
      <sz val="14"/>
      <name val="Meiryo UI"/>
      <family val="3"/>
      <charset val="128"/>
    </font>
    <font>
      <b/>
      <sz val="11"/>
      <color theme="1"/>
      <name val="Meiryo UI"/>
      <family val="3"/>
      <charset val="128"/>
    </font>
    <font>
      <u/>
      <sz val="10"/>
      <color theme="10"/>
      <name val="ＭＳ Ｐゴシック"/>
      <family val="2"/>
      <charset val="128"/>
      <scheme val="minor"/>
    </font>
    <font>
      <u/>
      <sz val="10"/>
      <color theme="10"/>
      <name val="ＭＳ Ｐゴシック"/>
      <family val="3"/>
      <charset val="128"/>
      <scheme val="minor"/>
    </font>
    <font>
      <sz val="10"/>
      <color rgb="FFFF0000"/>
      <name val="Meiryo UI"/>
      <family val="3"/>
      <charset val="128"/>
    </font>
    <font>
      <b/>
      <sz val="10"/>
      <color theme="1"/>
      <name val="Meiryo UI"/>
      <family val="3"/>
      <charset val="128"/>
    </font>
    <font>
      <sz val="10"/>
      <name val="Meiryo UI"/>
      <family val="3"/>
      <charset val="128"/>
    </font>
    <font>
      <u/>
      <sz val="10"/>
      <color theme="1"/>
      <name val="Meiryo UI"/>
      <family val="3"/>
      <charset val="128"/>
    </font>
    <font>
      <b/>
      <sz val="12"/>
      <name val="Meiryo UI"/>
      <family val="3"/>
      <charset val="128"/>
    </font>
    <font>
      <b/>
      <u/>
      <sz val="11"/>
      <name val="Meiryo UI"/>
      <family val="3"/>
      <charset val="128"/>
    </font>
    <font>
      <b/>
      <sz val="11"/>
      <name val="Meiryo UI"/>
      <family val="3"/>
      <charset val="128"/>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bgColor indexed="64"/>
      </patternFill>
    </fill>
    <fill>
      <patternFill patternType="solid">
        <fgColor theme="2" tint="-0.499984740745262"/>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8">
    <xf numFmtId="0" fontId="0" fillId="0" borderId="0">
      <alignment vertical="center"/>
    </xf>
    <xf numFmtId="0" fontId="3" fillId="0" borderId="0">
      <alignment vertical="center"/>
    </xf>
    <xf numFmtId="0" fontId="15" fillId="0" borderId="0" applyNumberFormat="0" applyFill="0" applyBorder="0" applyAlignment="0" applyProtection="0">
      <alignment vertical="center"/>
    </xf>
    <xf numFmtId="0" fontId="16" fillId="0" borderId="0"/>
    <xf numFmtId="0" fontId="3" fillId="0" borderId="0">
      <alignment vertical="center"/>
    </xf>
    <xf numFmtId="38" fontId="16" fillId="0" borderId="0" applyFont="0" applyFill="0" applyBorder="0" applyAlignment="0" applyProtection="0"/>
    <xf numFmtId="0" fontId="3" fillId="0" borderId="0">
      <alignment vertical="center"/>
    </xf>
    <xf numFmtId="38" fontId="21" fillId="0" borderId="0" applyFont="0" applyFill="0" applyBorder="0" applyAlignment="0" applyProtection="0">
      <alignment vertical="center"/>
    </xf>
  </cellStyleXfs>
  <cellXfs count="332">
    <xf numFmtId="0" fontId="0" fillId="0" borderId="0" xfId="0">
      <alignment vertical="center"/>
    </xf>
    <xf numFmtId="0" fontId="4" fillId="0" borderId="0" xfId="0" applyFont="1" applyAlignment="1">
      <alignment horizontal="right"/>
    </xf>
    <xf numFmtId="176" fontId="0" fillId="0" borderId="0" xfId="0" applyNumberFormat="1" applyAlignment="1">
      <alignment horizontal="center"/>
    </xf>
    <xf numFmtId="0" fontId="5" fillId="0" borderId="0" xfId="0" applyFont="1" applyAlignment="1">
      <alignment horizontal="right"/>
    </xf>
    <xf numFmtId="0" fontId="5" fillId="0" borderId="15" xfId="0" applyFont="1" applyBorder="1" applyAlignment="1">
      <alignment horizontal="center" vertical="center" wrapText="1"/>
    </xf>
    <xf numFmtId="0" fontId="12" fillId="0" borderId="0" xfId="0" applyFont="1">
      <alignment vertical="center"/>
    </xf>
    <xf numFmtId="0" fontId="14" fillId="0" borderId="0" xfId="0" applyFont="1" applyAlignment="1">
      <alignment horizontal="right" vertical="center"/>
    </xf>
    <xf numFmtId="0" fontId="6" fillId="0" borderId="0" xfId="0" applyFont="1" applyAlignment="1"/>
    <xf numFmtId="0" fontId="6" fillId="0" borderId="0" xfId="0" applyFont="1" applyAlignment="1">
      <alignment horizontal="right" vertical="center"/>
    </xf>
    <xf numFmtId="0" fontId="18" fillId="0" borderId="0" xfId="0" applyFont="1" applyAlignment="1">
      <alignment vertical="top"/>
    </xf>
    <xf numFmtId="0" fontId="18" fillId="0" borderId="0" xfId="0" applyFont="1" applyAlignment="1"/>
    <xf numFmtId="0" fontId="19" fillId="0" borderId="0" xfId="0" applyFont="1">
      <alignment vertical="center"/>
    </xf>
    <xf numFmtId="0" fontId="0" fillId="0" borderId="0" xfId="0" applyAlignment="1">
      <alignment vertical="center" wrapText="1"/>
    </xf>
    <xf numFmtId="0" fontId="22" fillId="0" borderId="0" xfId="0" applyFont="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22" fillId="0" borderId="0" xfId="0" applyFont="1" applyAlignment="1">
      <alignment horizontal="lef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27" fillId="0" borderId="0" xfId="0" applyFont="1">
      <alignment vertical="center"/>
    </xf>
    <xf numFmtId="0" fontId="25" fillId="0" borderId="10" xfId="0" applyFont="1" applyFill="1" applyBorder="1" applyAlignment="1">
      <alignment horizontal="center" vertical="center" wrapText="1"/>
    </xf>
    <xf numFmtId="177" fontId="25" fillId="0" borderId="3" xfId="0" applyNumberFormat="1" applyFont="1" applyFill="1" applyBorder="1">
      <alignment vertical="center"/>
    </xf>
    <xf numFmtId="0" fontId="29" fillId="0" borderId="4" xfId="0" applyFont="1" applyFill="1" applyBorder="1">
      <alignment vertical="center"/>
    </xf>
    <xf numFmtId="0" fontId="29" fillId="0" borderId="1" xfId="0" applyFont="1" applyFill="1" applyBorder="1" applyAlignment="1">
      <alignment horizontal="center" vertical="center"/>
    </xf>
    <xf numFmtId="177" fontId="25" fillId="0" borderId="12" xfId="0" applyNumberFormat="1" applyFont="1" applyFill="1" applyBorder="1">
      <alignment vertical="center"/>
    </xf>
    <xf numFmtId="0" fontId="29" fillId="0" borderId="11" xfId="0" applyFont="1" applyFill="1" applyBorder="1">
      <alignment vertical="center"/>
    </xf>
    <xf numFmtId="0" fontId="22" fillId="0" borderId="0" xfId="0" applyFont="1" applyProtection="1">
      <alignment vertical="center"/>
    </xf>
    <xf numFmtId="0" fontId="22" fillId="0" borderId="0" xfId="0" applyFont="1" applyAlignment="1" applyProtection="1">
      <alignment horizontal="left" vertical="center"/>
    </xf>
    <xf numFmtId="0" fontId="22" fillId="0" borderId="0" xfId="0" applyFont="1" applyFill="1" applyAlignment="1" applyProtection="1">
      <alignment horizontal="left" vertical="center"/>
    </xf>
    <xf numFmtId="0" fontId="24" fillId="4" borderId="12" xfId="0" applyFont="1" applyFill="1" applyBorder="1" applyAlignment="1" applyProtection="1">
      <alignment vertical="center"/>
      <protection locked="0"/>
    </xf>
    <xf numFmtId="0" fontId="0" fillId="0" borderId="0" xfId="0" applyProtection="1">
      <alignment vertical="center"/>
    </xf>
    <xf numFmtId="0" fontId="0" fillId="0" borderId="0" xfId="0" applyProtection="1">
      <alignment vertical="center"/>
      <protection locked="0"/>
    </xf>
    <xf numFmtId="0" fontId="29" fillId="0" borderId="13" xfId="0" applyFont="1" applyFill="1" applyBorder="1" applyAlignment="1">
      <alignment horizontal="center" vertical="center"/>
    </xf>
    <xf numFmtId="0" fontId="5" fillId="0" borderId="15" xfId="0" applyFont="1" applyBorder="1" applyAlignment="1">
      <alignment horizontal="center" vertical="center"/>
    </xf>
    <xf numFmtId="0" fontId="5" fillId="0" borderId="11" xfId="0" applyFont="1" applyBorder="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22" fillId="0" borderId="0" xfId="0" applyFont="1" applyFill="1" applyBorder="1" applyAlignment="1">
      <alignment horizontal="left" vertical="center"/>
    </xf>
    <xf numFmtId="0" fontId="35" fillId="0" borderId="0" xfId="0" applyFont="1">
      <alignment vertical="center"/>
    </xf>
    <xf numFmtId="0" fontId="41" fillId="0" borderId="0" xfId="0" applyFont="1" applyAlignment="1" applyProtection="1">
      <alignment horizontal="left" vertical="center"/>
    </xf>
    <xf numFmtId="0" fontId="22" fillId="0" borderId="0" xfId="0" applyFont="1" applyFill="1" applyBorder="1" applyAlignment="1" applyProtection="1">
      <alignment horizontal="left" vertical="center"/>
    </xf>
    <xf numFmtId="0" fontId="22" fillId="0" borderId="0" xfId="0" applyFont="1" applyFill="1" applyBorder="1" applyAlignment="1" applyProtection="1">
      <alignment horizontal="left" vertical="center" wrapText="1"/>
    </xf>
    <xf numFmtId="0" fontId="22" fillId="0" borderId="0" xfId="0" applyFont="1" applyAlignment="1">
      <alignment vertical="center"/>
    </xf>
    <xf numFmtId="0" fontId="42" fillId="0" borderId="0" xfId="2" applyFont="1" applyAlignment="1">
      <alignment vertical="center"/>
    </xf>
    <xf numFmtId="0" fontId="44" fillId="0" borderId="0" xfId="0" applyFont="1">
      <alignment vertical="center"/>
    </xf>
    <xf numFmtId="0" fontId="45" fillId="0" borderId="0" xfId="0" applyFont="1">
      <alignment vertical="center"/>
    </xf>
    <xf numFmtId="0" fontId="43" fillId="0" borderId="0" xfId="0" applyFont="1" applyAlignment="1">
      <alignment vertical="center"/>
    </xf>
    <xf numFmtId="0" fontId="43" fillId="0" borderId="0" xfId="0" applyFont="1">
      <alignment vertical="center"/>
    </xf>
    <xf numFmtId="0" fontId="43" fillId="0" borderId="0" xfId="0" applyFont="1" applyFill="1">
      <alignment vertical="center"/>
    </xf>
    <xf numFmtId="0" fontId="49" fillId="0" borderId="0" xfId="0" applyFont="1" applyAlignment="1">
      <alignment horizontal="right" vertical="center"/>
    </xf>
    <xf numFmtId="0" fontId="50" fillId="0" borderId="0" xfId="0" applyFont="1" applyAlignment="1">
      <alignment vertical="center"/>
    </xf>
    <xf numFmtId="0" fontId="33" fillId="0" borderId="0" xfId="0" applyFont="1">
      <alignment vertical="center"/>
    </xf>
    <xf numFmtId="0" fontId="36" fillId="0" borderId="0" xfId="0" applyFont="1">
      <alignment vertical="center"/>
    </xf>
    <xf numFmtId="0" fontId="43" fillId="0" borderId="6" xfId="0" applyFont="1" applyBorder="1" applyAlignment="1">
      <alignment horizontal="center" vertical="center"/>
    </xf>
    <xf numFmtId="0" fontId="43" fillId="0" borderId="6" xfId="0" applyFont="1" applyFill="1" applyBorder="1" applyAlignment="1">
      <alignment horizontal="center" vertical="center"/>
    </xf>
    <xf numFmtId="0" fontId="22" fillId="0" borderId="0" xfId="0" applyFont="1" applyAlignment="1" applyProtection="1">
      <alignment horizontal="left" vertical="center"/>
    </xf>
    <xf numFmtId="0" fontId="22" fillId="0" borderId="0" xfId="0" applyFont="1" applyFill="1" applyBorder="1" applyAlignment="1">
      <alignment horizontal="left" vertical="center" wrapText="1"/>
    </xf>
    <xf numFmtId="0" fontId="24" fillId="4" borderId="12" xfId="0" applyFont="1" applyFill="1" applyBorder="1" applyAlignment="1" applyProtection="1">
      <alignment vertical="center"/>
    </xf>
    <xf numFmtId="0" fontId="0" fillId="0" borderId="26" xfId="0" applyBorder="1" applyProtection="1">
      <alignment vertical="center"/>
    </xf>
    <xf numFmtId="0" fontId="0" fillId="0" borderId="0" xfId="0" applyBorder="1" applyAlignment="1">
      <alignment vertical="center"/>
    </xf>
    <xf numFmtId="0" fontId="0" fillId="0" borderId="0" xfId="0" applyFont="1" applyBorder="1" applyAlignment="1">
      <alignment vertical="center"/>
    </xf>
    <xf numFmtId="0" fontId="43" fillId="0" borderId="0" xfId="0" applyFont="1" applyAlignment="1">
      <alignment horizontal="left" vertical="center"/>
    </xf>
    <xf numFmtId="0" fontId="51" fillId="0" borderId="0" xfId="0" applyFont="1">
      <alignment vertical="center"/>
    </xf>
    <xf numFmtId="0" fontId="41" fillId="0" borderId="0" xfId="0" applyFont="1">
      <alignment vertical="center"/>
    </xf>
    <xf numFmtId="0" fontId="41" fillId="0" borderId="0" xfId="0" applyFont="1" applyAlignment="1"/>
    <xf numFmtId="0" fontId="42" fillId="0" borderId="0" xfId="2" applyFont="1" applyAlignment="1">
      <alignment horizontal="left" vertical="center"/>
    </xf>
    <xf numFmtId="0" fontId="52" fillId="0" borderId="0" xfId="0" applyFont="1">
      <alignment vertical="center"/>
    </xf>
    <xf numFmtId="0" fontId="53" fillId="0" borderId="0" xfId="0" applyFont="1">
      <alignment vertical="center"/>
    </xf>
    <xf numFmtId="0" fontId="22" fillId="0" borderId="2" xfId="0" applyFont="1" applyBorder="1">
      <alignment vertical="center"/>
    </xf>
    <xf numFmtId="14" fontId="22" fillId="0" borderId="3" xfId="0" applyNumberFormat="1" applyFont="1" applyBorder="1">
      <alignment vertical="center"/>
    </xf>
    <xf numFmtId="0" fontId="22" fillId="0" borderId="3" xfId="0" applyFont="1" applyBorder="1">
      <alignment vertical="center"/>
    </xf>
    <xf numFmtId="0" fontId="22" fillId="0" borderId="4" xfId="0" applyFont="1" applyBorder="1">
      <alignment vertical="center"/>
    </xf>
    <xf numFmtId="0" fontId="22" fillId="0" borderId="5" xfId="0" applyFont="1" applyBorder="1">
      <alignment vertical="center"/>
    </xf>
    <xf numFmtId="0" fontId="22" fillId="0" borderId="6" xfId="0" applyFont="1" applyBorder="1">
      <alignment vertical="center"/>
    </xf>
    <xf numFmtId="0" fontId="24" fillId="0" borderId="2" xfId="2" applyFont="1" applyBorder="1">
      <alignment vertical="center"/>
    </xf>
    <xf numFmtId="0" fontId="22" fillId="0" borderId="7" xfId="0" applyFont="1" applyBorder="1">
      <alignment vertical="center"/>
    </xf>
    <xf numFmtId="0" fontId="22" fillId="0" borderId="8" xfId="0" applyFont="1" applyBorder="1">
      <alignment vertical="center"/>
    </xf>
    <xf numFmtId="0" fontId="22" fillId="0" borderId="9" xfId="0" applyFont="1" applyBorder="1">
      <alignment vertical="center"/>
    </xf>
    <xf numFmtId="0" fontId="22" fillId="0" borderId="5" xfId="0" applyFont="1" applyBorder="1" applyAlignment="1">
      <alignment vertical="center" wrapText="1"/>
    </xf>
    <xf numFmtId="38" fontId="22" fillId="0" borderId="0" xfId="0" applyNumberFormat="1" applyFont="1">
      <alignment vertical="center"/>
    </xf>
    <xf numFmtId="0" fontId="15" fillId="0" borderId="0" xfId="2">
      <alignment vertical="center"/>
    </xf>
    <xf numFmtId="0" fontId="22" fillId="4" borderId="1" xfId="0" applyFont="1" applyFill="1" applyBorder="1" applyAlignment="1" applyProtection="1">
      <alignment horizontal="center" vertical="center"/>
    </xf>
    <xf numFmtId="0" fontId="22" fillId="4" borderId="1" xfId="0" applyFont="1" applyFill="1" applyBorder="1" applyAlignment="1">
      <alignment horizontal="center" vertical="center"/>
    </xf>
    <xf numFmtId="0" fontId="50" fillId="4" borderId="10" xfId="0" applyFont="1" applyFill="1" applyBorder="1" applyAlignment="1" applyProtection="1">
      <alignment horizontal="center" vertical="center"/>
    </xf>
    <xf numFmtId="0" fontId="50" fillId="4" borderId="12" xfId="0" applyFont="1" applyFill="1" applyBorder="1" applyAlignment="1" applyProtection="1">
      <alignment horizontal="center" vertical="center"/>
    </xf>
    <xf numFmtId="0" fontId="22" fillId="0" borderId="10" xfId="0" applyFont="1" applyFill="1" applyBorder="1" applyAlignment="1" applyProtection="1">
      <alignment horizontal="center" vertical="center"/>
      <protection locked="0"/>
    </xf>
    <xf numFmtId="0" fontId="22" fillId="0" borderId="12" xfId="0" applyFont="1" applyFill="1" applyBorder="1" applyAlignment="1" applyProtection="1">
      <alignment horizontal="center" vertical="center"/>
      <protection locked="0"/>
    </xf>
    <xf numFmtId="0" fontId="22" fillId="0" borderId="11" xfId="0" applyFont="1" applyFill="1" applyBorder="1" applyAlignment="1" applyProtection="1">
      <alignment horizontal="center" vertical="center"/>
      <protection locked="0"/>
    </xf>
    <xf numFmtId="0" fontId="24" fillId="4" borderId="10" xfId="0" applyFont="1" applyFill="1" applyBorder="1" applyAlignment="1" applyProtection="1">
      <alignment horizontal="center" vertical="center"/>
    </xf>
    <xf numFmtId="0" fontId="24" fillId="4" borderId="12" xfId="0" applyFont="1" applyFill="1" applyBorder="1" applyAlignment="1" applyProtection="1">
      <alignment horizontal="center" vertical="center"/>
    </xf>
    <xf numFmtId="0" fontId="22" fillId="0" borderId="10" xfId="0" applyFont="1" applyFill="1" applyBorder="1" applyAlignment="1" applyProtection="1">
      <alignment horizontal="center" vertical="center"/>
    </xf>
    <xf numFmtId="0" fontId="22" fillId="0" borderId="12" xfId="0" applyFont="1" applyFill="1" applyBorder="1" applyAlignment="1" applyProtection="1">
      <alignment horizontal="center" vertical="center"/>
    </xf>
    <xf numFmtId="0" fontId="22" fillId="0" borderId="11" xfId="0" applyFont="1" applyFill="1" applyBorder="1" applyAlignment="1" applyProtection="1">
      <alignment horizontal="center" vertical="center"/>
    </xf>
    <xf numFmtId="0" fontId="22" fillId="7" borderId="10" xfId="0" applyFont="1" applyFill="1" applyBorder="1" applyAlignment="1" applyProtection="1">
      <alignment horizontal="center" vertical="center"/>
      <protection locked="0"/>
    </xf>
    <xf numFmtId="0" fontId="22" fillId="7" borderId="12" xfId="0" applyFont="1" applyFill="1" applyBorder="1" applyAlignment="1" applyProtection="1">
      <alignment horizontal="center" vertical="center"/>
      <protection locked="0"/>
    </xf>
    <xf numFmtId="0" fontId="22" fillId="7" borderId="11" xfId="0" applyFont="1" applyFill="1" applyBorder="1" applyAlignment="1" applyProtection="1">
      <alignment horizontal="center" vertical="center"/>
      <protection locked="0"/>
    </xf>
    <xf numFmtId="0" fontId="23" fillId="0" borderId="21" xfId="0" applyFont="1" applyBorder="1" applyAlignment="1">
      <alignment horizontal="center" vertical="center"/>
    </xf>
    <xf numFmtId="0" fontId="0" fillId="0" borderId="21" xfId="0" applyBorder="1" applyAlignment="1">
      <alignment horizontal="center" vertical="center"/>
    </xf>
    <xf numFmtId="0" fontId="22" fillId="4" borderId="1" xfId="0" applyFont="1" applyFill="1" applyBorder="1" applyAlignment="1" applyProtection="1">
      <alignment horizontal="left" vertical="center"/>
    </xf>
    <xf numFmtId="14" fontId="22" fillId="0" borderId="1" xfId="0" applyNumberFormat="1" applyFont="1" applyFill="1" applyBorder="1" applyAlignment="1" applyProtection="1">
      <alignment horizontal="center" vertical="center"/>
      <protection locked="0"/>
    </xf>
    <xf numFmtId="0" fontId="22" fillId="4" borderId="1" xfId="0" applyFont="1" applyFill="1" applyBorder="1" applyAlignment="1">
      <alignment horizontal="left" vertical="center"/>
    </xf>
    <xf numFmtId="14" fontId="22" fillId="0" borderId="1" xfId="0" applyNumberFormat="1" applyFont="1" applyFill="1" applyBorder="1" applyAlignment="1">
      <alignment horizontal="left" vertical="center"/>
    </xf>
    <xf numFmtId="0" fontId="24" fillId="4" borderId="1" xfId="0" applyFont="1" applyFill="1" applyBorder="1" applyAlignment="1" applyProtection="1">
      <alignment horizontal="left" vertical="center"/>
    </xf>
    <xf numFmtId="0" fontId="22" fillId="0" borderId="1" xfId="0" applyFont="1" applyFill="1" applyBorder="1" applyAlignment="1" applyProtection="1">
      <alignment horizontal="left" vertical="center" shrinkToFit="1"/>
      <protection locked="0"/>
    </xf>
    <xf numFmtId="0" fontId="24" fillId="4" borderId="1" xfId="0" applyFont="1" applyFill="1" applyBorder="1" applyAlignment="1">
      <alignment horizontal="left" vertical="center"/>
    </xf>
    <xf numFmtId="0" fontId="22" fillId="0" borderId="1" xfId="0" applyFont="1" applyFill="1" applyBorder="1" applyAlignment="1">
      <alignment horizontal="left" vertical="center" shrinkToFit="1"/>
    </xf>
    <xf numFmtId="0" fontId="22" fillId="0" borderId="2" xfId="0" applyFont="1" applyFill="1" applyBorder="1" applyAlignment="1" applyProtection="1">
      <alignment horizontal="center" vertical="center"/>
    </xf>
    <xf numFmtId="0" fontId="22" fillId="0" borderId="3" xfId="0" applyFont="1" applyFill="1" applyBorder="1" applyAlignment="1" applyProtection="1">
      <alignment horizontal="center" vertical="center"/>
    </xf>
    <xf numFmtId="0" fontId="22" fillId="0" borderId="4" xfId="0" applyFont="1" applyFill="1" applyBorder="1" applyAlignment="1" applyProtection="1">
      <alignment horizontal="center" vertical="center"/>
    </xf>
    <xf numFmtId="0" fontId="22" fillId="0" borderId="7" xfId="0" applyFont="1" applyFill="1" applyBorder="1" applyAlignment="1" applyProtection="1">
      <alignment horizontal="center" vertical="center"/>
    </xf>
    <xf numFmtId="0" fontId="22" fillId="0" borderId="8" xfId="0" applyFont="1" applyFill="1" applyBorder="1" applyAlignment="1" applyProtection="1">
      <alignment horizontal="center" vertical="center"/>
    </xf>
    <xf numFmtId="0" fontId="22" fillId="0" borderId="9" xfId="0" applyFont="1" applyFill="1" applyBorder="1" applyAlignment="1" applyProtection="1">
      <alignment horizontal="center" vertical="center"/>
    </xf>
    <xf numFmtId="38" fontId="22" fillId="4" borderId="10" xfId="7" applyFont="1" applyFill="1" applyBorder="1" applyAlignment="1" applyProtection="1">
      <alignment horizontal="center" vertical="center" shrinkToFit="1"/>
    </xf>
    <xf numFmtId="38" fontId="22" fillId="4" borderId="12" xfId="7" applyFont="1" applyFill="1" applyBorder="1" applyAlignment="1" applyProtection="1">
      <alignment horizontal="center" vertical="center" shrinkToFit="1"/>
    </xf>
    <xf numFmtId="38" fontId="22" fillId="4" borderId="11" xfId="7" applyFont="1" applyFill="1" applyBorder="1" applyAlignment="1" applyProtection="1">
      <alignment horizontal="center" vertical="center" shrinkToFit="1"/>
    </xf>
    <xf numFmtId="0" fontId="22" fillId="4" borderId="10" xfId="0" applyFont="1" applyFill="1" applyBorder="1" applyAlignment="1" applyProtection="1">
      <alignment horizontal="center" vertical="center" shrinkToFit="1"/>
    </xf>
    <xf numFmtId="0" fontId="22" fillId="4" borderId="12" xfId="0" applyFont="1" applyFill="1" applyBorder="1" applyAlignment="1" applyProtection="1">
      <alignment horizontal="center" vertical="center" shrinkToFit="1"/>
    </xf>
    <xf numFmtId="0" fontId="22" fillId="4" borderId="11" xfId="0" applyFont="1" applyFill="1" applyBorder="1" applyAlignment="1" applyProtection="1">
      <alignment horizontal="center" vertical="center" shrinkToFit="1"/>
    </xf>
    <xf numFmtId="38" fontId="22" fillId="4" borderId="10" xfId="7" applyFont="1" applyFill="1" applyBorder="1" applyAlignment="1">
      <alignment horizontal="center" vertical="center" shrinkToFit="1"/>
    </xf>
    <xf numFmtId="38" fontId="22" fillId="4" borderId="12" xfId="7" applyFont="1" applyFill="1" applyBorder="1" applyAlignment="1">
      <alignment horizontal="center" vertical="center" shrinkToFit="1"/>
    </xf>
    <xf numFmtId="38" fontId="22" fillId="4" borderId="11" xfId="7" applyFont="1" applyFill="1" applyBorder="1" applyAlignment="1">
      <alignment horizontal="center" vertical="center" shrinkToFit="1"/>
    </xf>
    <xf numFmtId="0" fontId="22" fillId="0" borderId="0" xfId="0" applyFont="1" applyAlignment="1" applyProtection="1">
      <alignment horizontal="left" vertical="center"/>
    </xf>
    <xf numFmtId="0" fontId="22" fillId="0" borderId="0" xfId="0" applyFont="1" applyAlignment="1">
      <alignment horizontal="left" vertical="center"/>
    </xf>
    <xf numFmtId="0" fontId="28" fillId="0" borderId="10" xfId="0" applyFont="1" applyFill="1" applyBorder="1" applyAlignment="1" applyProtection="1">
      <alignment horizontal="center" vertical="center"/>
    </xf>
    <xf numFmtId="0" fontId="28" fillId="0" borderId="12" xfId="0" applyFont="1" applyFill="1" applyBorder="1" applyAlignment="1" applyProtection="1">
      <alignment horizontal="center" vertical="center"/>
    </xf>
    <xf numFmtId="0" fontId="28" fillId="0" borderId="11" xfId="0" applyFont="1" applyFill="1" applyBorder="1" applyAlignment="1" applyProtection="1">
      <alignment horizontal="center" vertical="center"/>
    </xf>
    <xf numFmtId="0" fontId="22" fillId="0" borderId="10" xfId="0" applyFont="1" applyFill="1" applyBorder="1" applyAlignment="1" applyProtection="1">
      <alignment horizontal="center" vertical="center" shrinkToFit="1"/>
    </xf>
    <xf numFmtId="0" fontId="22" fillId="0" borderId="12" xfId="0" applyFont="1" applyFill="1" applyBorder="1" applyAlignment="1" applyProtection="1">
      <alignment horizontal="center" vertical="center" shrinkToFit="1"/>
    </xf>
    <xf numFmtId="0" fontId="22" fillId="0" borderId="11" xfId="0" applyFont="1" applyFill="1" applyBorder="1" applyAlignment="1" applyProtection="1">
      <alignment horizontal="center" vertical="center" shrinkToFit="1"/>
    </xf>
    <xf numFmtId="0" fontId="28" fillId="0" borderId="10" xfId="0" applyFont="1" applyFill="1" applyBorder="1" applyAlignment="1" applyProtection="1">
      <alignment horizontal="center" vertical="center"/>
      <protection locked="0"/>
    </xf>
    <xf numFmtId="0" fontId="28" fillId="0" borderId="12" xfId="0" applyFont="1" applyFill="1" applyBorder="1" applyAlignment="1" applyProtection="1">
      <alignment horizontal="center" vertical="center"/>
      <protection locked="0"/>
    </xf>
    <xf numFmtId="0" fontId="28" fillId="0" borderId="11" xfId="0" applyFont="1" applyFill="1" applyBorder="1" applyAlignment="1" applyProtection="1">
      <alignment horizontal="center" vertical="center"/>
      <protection locked="0"/>
    </xf>
    <xf numFmtId="14" fontId="22" fillId="0" borderId="10" xfId="0" applyNumberFormat="1" applyFont="1" applyFill="1" applyBorder="1" applyAlignment="1" applyProtection="1">
      <alignment horizontal="center" vertical="center" shrinkToFit="1"/>
      <protection locked="0"/>
    </xf>
    <xf numFmtId="0" fontId="22" fillId="0" borderId="12" xfId="0" applyFont="1" applyFill="1" applyBorder="1" applyAlignment="1" applyProtection="1">
      <alignment horizontal="center" vertical="center" shrinkToFit="1"/>
      <protection locked="0"/>
    </xf>
    <xf numFmtId="0" fontId="22" fillId="0" borderId="11" xfId="0" applyFont="1" applyFill="1" applyBorder="1" applyAlignment="1" applyProtection="1">
      <alignment horizontal="center" vertical="center" shrinkToFit="1"/>
      <protection locked="0"/>
    </xf>
    <xf numFmtId="0" fontId="22" fillId="0" borderId="5" xfId="0" applyFont="1" applyFill="1" applyBorder="1" applyAlignment="1">
      <alignment horizontal="left" vertical="center"/>
    </xf>
    <xf numFmtId="0" fontId="22" fillId="0" borderId="0" xfId="0" applyFont="1" applyFill="1" applyBorder="1" applyAlignment="1">
      <alignment horizontal="left" vertical="center"/>
    </xf>
    <xf numFmtId="0" fontId="22" fillId="0" borderId="3" xfId="0" applyFont="1" applyFill="1" applyBorder="1" applyAlignment="1">
      <alignment horizontal="left" vertical="center"/>
    </xf>
    <xf numFmtId="0" fontId="22" fillId="0" borderId="4" xfId="0" applyFont="1" applyFill="1" applyBorder="1" applyAlignment="1">
      <alignment horizontal="left" vertical="center"/>
    </xf>
    <xf numFmtId="0" fontId="24" fillId="4" borderId="1" xfId="0" applyFont="1" applyFill="1" applyBorder="1" applyAlignment="1" applyProtection="1">
      <alignment horizontal="center" vertical="center"/>
    </xf>
    <xf numFmtId="0" fontId="22" fillId="4" borderId="10" xfId="0" applyFont="1" applyFill="1" applyBorder="1" applyAlignment="1">
      <alignment horizontal="center" vertical="center" shrinkToFit="1"/>
    </xf>
    <xf numFmtId="0" fontId="22" fillId="4" borderId="12" xfId="0" applyFont="1" applyFill="1" applyBorder="1" applyAlignment="1">
      <alignment horizontal="center" vertical="center" shrinkToFit="1"/>
    </xf>
    <xf numFmtId="0" fontId="22" fillId="4" borderId="11" xfId="0" applyFont="1" applyFill="1" applyBorder="1" applyAlignment="1">
      <alignment horizontal="center" vertical="center" shrinkToFit="1"/>
    </xf>
    <xf numFmtId="0" fontId="22" fillId="4" borderId="10" xfId="0" applyFont="1" applyFill="1" applyBorder="1" applyAlignment="1">
      <alignment horizontal="left" vertical="center" wrapText="1"/>
    </xf>
    <xf numFmtId="0" fontId="22" fillId="4" borderId="12" xfId="0" applyFont="1" applyFill="1" applyBorder="1" applyAlignment="1">
      <alignment horizontal="left" vertical="center" wrapText="1"/>
    </xf>
    <xf numFmtId="0" fontId="22" fillId="4" borderId="11" xfId="0" applyFont="1" applyFill="1" applyBorder="1" applyAlignment="1">
      <alignment horizontal="left" vertical="center" wrapText="1"/>
    </xf>
    <xf numFmtId="0" fontId="22" fillId="0" borderId="5" xfId="0" applyFont="1" applyFill="1" applyBorder="1" applyAlignment="1" applyProtection="1">
      <alignment horizontal="left" vertical="center"/>
      <protection locked="0"/>
    </xf>
    <xf numFmtId="0" fontId="22" fillId="0" borderId="0" xfId="0" applyFont="1" applyFill="1" applyBorder="1" applyAlignment="1" applyProtection="1">
      <alignment horizontal="left" vertical="center"/>
      <protection locked="0"/>
    </xf>
    <xf numFmtId="0" fontId="22" fillId="0" borderId="3" xfId="0" applyFont="1" applyFill="1" applyBorder="1" applyAlignment="1" applyProtection="1">
      <alignment horizontal="left" vertical="center"/>
      <protection locked="0"/>
    </xf>
    <xf numFmtId="0" fontId="22" fillId="0" borderId="4" xfId="0" applyFont="1" applyFill="1" applyBorder="1" applyAlignment="1" applyProtection="1">
      <alignment horizontal="left" vertical="center"/>
      <protection locked="0"/>
    </xf>
    <xf numFmtId="0" fontId="24" fillId="4" borderId="1" xfId="0" applyFont="1" applyFill="1" applyBorder="1" applyAlignment="1">
      <alignment horizontal="center" vertical="center"/>
    </xf>
    <xf numFmtId="0" fontId="22" fillId="0" borderId="10" xfId="0" applyFont="1" applyFill="1" applyBorder="1" applyAlignment="1">
      <alignment horizontal="center" vertical="center" shrinkToFit="1"/>
    </xf>
    <xf numFmtId="0" fontId="22" fillId="0" borderId="12" xfId="0" applyFont="1" applyFill="1" applyBorder="1" applyAlignment="1">
      <alignment horizontal="center" vertical="center" shrinkToFit="1"/>
    </xf>
    <xf numFmtId="0" fontId="22" fillId="0" borderId="11" xfId="0" applyFont="1" applyFill="1" applyBorder="1" applyAlignment="1">
      <alignment horizontal="center" vertical="center" shrinkToFit="1"/>
    </xf>
    <xf numFmtId="0" fontId="22" fillId="4" borderId="28" xfId="0" applyFont="1" applyFill="1" applyBorder="1" applyAlignment="1" applyProtection="1">
      <alignment horizontal="center" vertical="center"/>
    </xf>
    <xf numFmtId="0" fontId="22" fillId="4" borderId="29" xfId="0" applyFont="1" applyFill="1" applyBorder="1" applyAlignment="1" applyProtection="1">
      <alignment horizontal="center" vertical="center"/>
    </xf>
    <xf numFmtId="0" fontId="22" fillId="4" borderId="30" xfId="0" applyFont="1" applyFill="1" applyBorder="1" applyAlignment="1" applyProtection="1">
      <alignment horizontal="center" vertical="center"/>
    </xf>
    <xf numFmtId="0" fontId="39" fillId="4" borderId="12" xfId="2" applyFont="1" applyFill="1" applyBorder="1" applyAlignment="1" applyProtection="1">
      <alignment horizontal="center" vertical="center"/>
    </xf>
    <xf numFmtId="0" fontId="40" fillId="4" borderId="12" xfId="2" applyFont="1" applyFill="1" applyBorder="1" applyAlignment="1" applyProtection="1">
      <alignment horizontal="center" vertical="center"/>
    </xf>
    <xf numFmtId="0" fontId="40" fillId="4" borderId="11" xfId="2" applyFont="1" applyFill="1" applyBorder="1" applyAlignment="1" applyProtection="1">
      <alignment horizontal="center" vertical="center"/>
    </xf>
    <xf numFmtId="0" fontId="38" fillId="4" borderId="10" xfId="0" applyFont="1" applyFill="1" applyBorder="1" applyAlignment="1">
      <alignment horizontal="left" vertical="center"/>
    </xf>
    <xf numFmtId="0" fontId="38" fillId="4" borderId="12" xfId="0" applyFont="1" applyFill="1" applyBorder="1" applyAlignment="1">
      <alignment horizontal="left" vertical="center"/>
    </xf>
    <xf numFmtId="38" fontId="22" fillId="0" borderId="10" xfId="7" applyFont="1" applyFill="1" applyBorder="1" applyAlignment="1" applyProtection="1">
      <alignment horizontal="center" vertical="center" shrinkToFit="1"/>
      <protection locked="0"/>
    </xf>
    <xf numFmtId="38" fontId="22" fillId="0" borderId="12" xfId="7" applyFont="1" applyFill="1" applyBorder="1" applyAlignment="1" applyProtection="1">
      <alignment horizontal="center" vertical="center" shrinkToFit="1"/>
      <protection locked="0"/>
    </xf>
    <xf numFmtId="38" fontId="22" fillId="0" borderId="11" xfId="7" applyFont="1" applyFill="1" applyBorder="1" applyAlignment="1" applyProtection="1">
      <alignment horizontal="center" vertical="center" shrinkToFit="1"/>
      <protection locked="0"/>
    </xf>
    <xf numFmtId="0" fontId="37" fillId="0" borderId="2" xfId="0" applyFont="1" applyFill="1" applyBorder="1" applyAlignment="1" applyProtection="1">
      <alignment horizontal="center" vertical="center"/>
    </xf>
    <xf numFmtId="0" fontId="37" fillId="0" borderId="3" xfId="0" applyFont="1" applyFill="1" applyBorder="1" applyAlignment="1" applyProtection="1">
      <alignment horizontal="center" vertical="center"/>
    </xf>
    <xf numFmtId="0" fontId="37" fillId="0" borderId="4" xfId="0" applyFont="1" applyFill="1" applyBorder="1" applyAlignment="1" applyProtection="1">
      <alignment horizontal="center" vertical="center"/>
    </xf>
    <xf numFmtId="0" fontId="46" fillId="4" borderId="2" xfId="2" applyFont="1" applyFill="1" applyBorder="1" applyAlignment="1" applyProtection="1">
      <alignment horizontal="center" vertical="center"/>
    </xf>
    <xf numFmtId="0" fontId="47" fillId="4" borderId="3" xfId="2" applyFont="1" applyFill="1" applyBorder="1" applyAlignment="1" applyProtection="1">
      <alignment horizontal="center" vertical="center"/>
    </xf>
    <xf numFmtId="0" fontId="47" fillId="4" borderId="4" xfId="2" applyFont="1" applyFill="1" applyBorder="1" applyAlignment="1" applyProtection="1">
      <alignment horizontal="center" vertical="center"/>
    </xf>
    <xf numFmtId="0" fontId="47" fillId="4" borderId="7" xfId="2" applyFont="1" applyFill="1" applyBorder="1" applyAlignment="1" applyProtection="1">
      <alignment horizontal="center" vertical="center"/>
    </xf>
    <xf numFmtId="0" fontId="47" fillId="4" borderId="8" xfId="2" applyFont="1" applyFill="1" applyBorder="1" applyAlignment="1" applyProtection="1">
      <alignment horizontal="center" vertical="center"/>
    </xf>
    <xf numFmtId="0" fontId="47" fillId="4" borderId="9" xfId="2" applyFont="1" applyFill="1" applyBorder="1" applyAlignment="1" applyProtection="1">
      <alignment horizontal="center" vertical="center"/>
    </xf>
    <xf numFmtId="38" fontId="22" fillId="0" borderId="10" xfId="7" applyFont="1" applyFill="1" applyBorder="1" applyAlignment="1">
      <alignment horizontal="center" vertical="center" shrinkToFit="1"/>
    </xf>
    <xf numFmtId="38" fontId="22" fillId="0" borderId="12" xfId="7" applyFont="1" applyFill="1" applyBorder="1" applyAlignment="1">
      <alignment horizontal="center" vertical="center" shrinkToFit="1"/>
    </xf>
    <xf numFmtId="38" fontId="22" fillId="0" borderId="11" xfId="7" applyFont="1" applyFill="1" applyBorder="1" applyAlignment="1">
      <alignment horizontal="center" vertical="center" shrinkToFit="1"/>
    </xf>
    <xf numFmtId="0" fontId="22" fillId="4" borderId="1" xfId="0" applyFont="1" applyFill="1" applyBorder="1" applyAlignment="1">
      <alignment horizontal="left" vertical="center" wrapText="1"/>
    </xf>
    <xf numFmtId="0" fontId="22" fillId="0" borderId="2" xfId="0" applyFont="1" applyFill="1" applyBorder="1" applyAlignment="1" applyProtection="1">
      <alignment horizontal="center" vertical="center"/>
      <protection locked="0"/>
    </xf>
    <xf numFmtId="0" fontId="22" fillId="0" borderId="3" xfId="0" applyFont="1" applyFill="1" applyBorder="1" applyAlignment="1" applyProtection="1">
      <alignment horizontal="center" vertical="center"/>
      <protection locked="0"/>
    </xf>
    <xf numFmtId="0" fontId="22" fillId="0" borderId="4" xfId="0" applyFont="1" applyFill="1" applyBorder="1" applyAlignment="1" applyProtection="1">
      <alignment horizontal="center" vertical="center"/>
      <protection locked="0"/>
    </xf>
    <xf numFmtId="0" fontId="22" fillId="0" borderId="7" xfId="0" applyFont="1" applyFill="1" applyBorder="1" applyAlignment="1" applyProtection="1">
      <alignment horizontal="center" vertical="center"/>
      <protection locked="0"/>
    </xf>
    <xf numFmtId="0" fontId="22" fillId="0" borderId="8" xfId="0" applyFont="1" applyFill="1" applyBorder="1" applyAlignment="1" applyProtection="1">
      <alignment horizontal="center" vertical="center"/>
      <protection locked="0"/>
    </xf>
    <xf numFmtId="0" fontId="22" fillId="0" borderId="9" xfId="0" applyFont="1" applyFill="1" applyBorder="1" applyAlignment="1" applyProtection="1">
      <alignment horizontal="center" vertical="center"/>
      <protection locked="0"/>
    </xf>
    <xf numFmtId="0" fontId="22" fillId="4" borderId="2" xfId="0" applyFont="1" applyFill="1" applyBorder="1" applyAlignment="1">
      <alignment horizontal="left" vertical="center" wrapText="1"/>
    </xf>
    <xf numFmtId="0" fontId="22" fillId="4" borderId="3" xfId="0" applyFont="1" applyFill="1" applyBorder="1" applyAlignment="1">
      <alignment horizontal="left" vertical="center" wrapText="1"/>
    </xf>
    <xf numFmtId="0" fontId="22" fillId="4" borderId="4" xfId="0" applyFont="1" applyFill="1" applyBorder="1" applyAlignment="1">
      <alignment horizontal="left" vertical="center" wrapText="1"/>
    </xf>
    <xf numFmtId="0" fontId="22" fillId="4" borderId="7" xfId="0" applyFont="1" applyFill="1" applyBorder="1" applyAlignment="1">
      <alignment horizontal="left" vertical="center" wrapText="1"/>
    </xf>
    <xf numFmtId="0" fontId="22" fillId="4" borderId="8" xfId="0" applyFont="1" applyFill="1" applyBorder="1" applyAlignment="1">
      <alignment horizontal="left" vertical="center" wrapText="1"/>
    </xf>
    <xf numFmtId="0" fontId="22" fillId="4" borderId="9" xfId="0" applyFont="1" applyFill="1" applyBorder="1" applyAlignment="1">
      <alignment horizontal="left" vertical="center" wrapText="1"/>
    </xf>
    <xf numFmtId="38" fontId="22" fillId="3" borderId="10" xfId="7" applyFont="1" applyFill="1" applyBorder="1" applyAlignment="1">
      <alignment horizontal="center" vertical="center" shrinkToFit="1"/>
    </xf>
    <xf numFmtId="38" fontId="22" fillId="3" borderId="12" xfId="7" applyFont="1" applyFill="1" applyBorder="1" applyAlignment="1">
      <alignment horizontal="center" vertical="center" shrinkToFit="1"/>
    </xf>
    <xf numFmtId="38" fontId="22" fillId="3" borderId="11" xfId="7" applyFont="1" applyFill="1" applyBorder="1" applyAlignment="1">
      <alignment horizontal="center" vertical="center" shrinkToFit="1"/>
    </xf>
    <xf numFmtId="0" fontId="22" fillId="3" borderId="1" xfId="0" applyFont="1" applyFill="1" applyBorder="1" applyAlignment="1">
      <alignment horizontal="left" vertical="center" shrinkToFit="1"/>
    </xf>
    <xf numFmtId="0" fontId="38" fillId="4" borderId="10" xfId="0" applyFont="1" applyFill="1" applyBorder="1" applyAlignment="1" applyProtection="1">
      <alignment horizontal="left" vertical="center"/>
    </xf>
    <xf numFmtId="0" fontId="38" fillId="4" borderId="12" xfId="0" applyFont="1" applyFill="1" applyBorder="1" applyAlignment="1" applyProtection="1">
      <alignment horizontal="left" vertical="center"/>
    </xf>
    <xf numFmtId="0" fontId="24" fillId="4" borderId="28" xfId="0" applyFont="1" applyFill="1" applyBorder="1" applyAlignment="1" applyProtection="1">
      <alignment horizontal="center" vertical="center"/>
    </xf>
    <xf numFmtId="0" fontId="24" fillId="4" borderId="29" xfId="0" applyFont="1" applyFill="1" applyBorder="1" applyAlignment="1" applyProtection="1">
      <alignment horizontal="center" vertical="center"/>
    </xf>
    <xf numFmtId="0" fontId="24" fillId="4" borderId="30" xfId="0" applyFont="1" applyFill="1" applyBorder="1" applyAlignment="1" applyProtection="1">
      <alignment horizontal="center" vertical="center"/>
    </xf>
    <xf numFmtId="0" fontId="39" fillId="4" borderId="12" xfId="2" applyFont="1" applyFill="1" applyBorder="1" applyAlignment="1" applyProtection="1">
      <alignment horizontal="center" vertical="center"/>
      <protection locked="0"/>
    </xf>
    <xf numFmtId="0" fontId="40" fillId="4" borderId="12" xfId="2" applyFont="1" applyFill="1" applyBorder="1" applyAlignment="1" applyProtection="1">
      <alignment horizontal="center" vertical="center"/>
      <protection locked="0"/>
    </xf>
    <xf numFmtId="0" fontId="40" fillId="4" borderId="11" xfId="2" applyFont="1" applyFill="1" applyBorder="1" applyAlignment="1" applyProtection="1">
      <alignment horizontal="center" vertical="center"/>
      <protection locked="0"/>
    </xf>
    <xf numFmtId="0" fontId="22" fillId="4" borderId="2" xfId="0" applyFont="1" applyFill="1" applyBorder="1" applyAlignment="1" applyProtection="1">
      <alignment horizontal="left" vertical="center"/>
    </xf>
    <xf numFmtId="0" fontId="22" fillId="4" borderId="3" xfId="0" applyFont="1" applyFill="1" applyBorder="1" applyAlignment="1" applyProtection="1">
      <alignment horizontal="left" vertical="center"/>
    </xf>
    <xf numFmtId="0" fontId="22" fillId="4" borderId="4" xfId="0" applyFont="1" applyFill="1" applyBorder="1" applyAlignment="1" applyProtection="1">
      <alignment horizontal="left" vertical="center"/>
    </xf>
    <xf numFmtId="0" fontId="22" fillId="4" borderId="7" xfId="0" applyFont="1" applyFill="1" applyBorder="1" applyAlignment="1" applyProtection="1">
      <alignment horizontal="left" vertical="center"/>
    </xf>
    <xf numFmtId="0" fontId="22" fillId="4" borderId="8" xfId="0" applyFont="1" applyFill="1" applyBorder="1" applyAlignment="1" applyProtection="1">
      <alignment horizontal="left" vertical="center"/>
    </xf>
    <xf numFmtId="0" fontId="22" fillId="4" borderId="9" xfId="0" applyFont="1" applyFill="1" applyBorder="1" applyAlignment="1" applyProtection="1">
      <alignment horizontal="left" vertical="center"/>
    </xf>
    <xf numFmtId="0" fontId="33" fillId="4" borderId="2" xfId="0" applyFont="1" applyFill="1" applyBorder="1" applyAlignment="1" applyProtection="1">
      <alignment horizontal="center" vertical="center"/>
    </xf>
    <xf numFmtId="0" fontId="33" fillId="4" borderId="3" xfId="0" applyFont="1" applyFill="1" applyBorder="1" applyAlignment="1" applyProtection="1">
      <alignment horizontal="center" vertical="center"/>
    </xf>
    <xf numFmtId="0" fontId="33" fillId="4" borderId="4" xfId="0" applyFont="1" applyFill="1" applyBorder="1" applyAlignment="1" applyProtection="1">
      <alignment horizontal="center" vertical="center"/>
    </xf>
    <xf numFmtId="0" fontId="33" fillId="4" borderId="7" xfId="0" applyFont="1" applyFill="1" applyBorder="1" applyAlignment="1" applyProtection="1">
      <alignment horizontal="center" vertical="center"/>
    </xf>
    <xf numFmtId="0" fontId="33" fillId="4" borderId="8" xfId="0" applyFont="1" applyFill="1" applyBorder="1" applyAlignment="1" applyProtection="1">
      <alignment horizontal="center" vertical="center"/>
    </xf>
    <xf numFmtId="0" fontId="33" fillId="4" borderId="9" xfId="0" applyFont="1" applyFill="1" applyBorder="1" applyAlignment="1" applyProtection="1">
      <alignment horizontal="center" vertical="center"/>
    </xf>
    <xf numFmtId="0" fontId="16" fillId="4" borderId="10" xfId="0" applyFont="1" applyFill="1" applyBorder="1" applyAlignment="1" applyProtection="1">
      <alignment horizontal="center" vertical="center"/>
    </xf>
    <xf numFmtId="0" fontId="16" fillId="4" borderId="12" xfId="0" applyFont="1" applyFill="1" applyBorder="1" applyAlignment="1" applyProtection="1">
      <alignment horizontal="center" vertical="center"/>
    </xf>
    <xf numFmtId="0" fontId="16" fillId="4" borderId="11" xfId="0" applyFont="1" applyFill="1" applyBorder="1" applyAlignment="1" applyProtection="1">
      <alignment horizontal="center" vertical="center"/>
    </xf>
    <xf numFmtId="0" fontId="22" fillId="4" borderId="10" xfId="0" applyFont="1" applyFill="1" applyBorder="1" applyAlignment="1" applyProtection="1">
      <alignment horizontal="left" vertical="center" wrapText="1"/>
    </xf>
    <xf numFmtId="0" fontId="22" fillId="4" borderId="12" xfId="0" applyFont="1" applyFill="1" applyBorder="1" applyAlignment="1" applyProtection="1">
      <alignment horizontal="left" vertical="center" wrapText="1"/>
    </xf>
    <xf numFmtId="0" fontId="22" fillId="4" borderId="11" xfId="0" applyFont="1" applyFill="1" applyBorder="1" applyAlignment="1" applyProtection="1">
      <alignment horizontal="left" vertical="center" wrapText="1"/>
    </xf>
    <xf numFmtId="38" fontId="22" fillId="3" borderId="10" xfId="7" applyFont="1" applyFill="1" applyBorder="1" applyAlignment="1" applyProtection="1">
      <alignment horizontal="center" vertical="center" shrinkToFit="1"/>
      <protection locked="0"/>
    </xf>
    <xf numFmtId="38" fontId="22" fillId="3" borderId="12" xfId="7" applyFont="1" applyFill="1" applyBorder="1" applyAlignment="1" applyProtection="1">
      <alignment horizontal="center" vertical="center" shrinkToFit="1"/>
      <protection locked="0"/>
    </xf>
    <xf numFmtId="38" fontId="22" fillId="3" borderId="11" xfId="7" applyFont="1" applyFill="1" applyBorder="1" applyAlignment="1" applyProtection="1">
      <alignment horizontal="center" vertical="center" shrinkToFit="1"/>
      <protection locked="0"/>
    </xf>
    <xf numFmtId="0" fontId="22" fillId="4" borderId="1" xfId="0" applyFont="1" applyFill="1" applyBorder="1" applyAlignment="1" applyProtection="1">
      <alignment horizontal="left" vertical="center" wrapText="1"/>
    </xf>
    <xf numFmtId="0" fontId="22" fillId="4" borderId="2" xfId="0" applyFont="1" applyFill="1" applyBorder="1" applyAlignment="1" applyProtection="1">
      <alignment horizontal="left" vertical="center" wrapText="1"/>
    </xf>
    <xf numFmtId="0" fontId="22" fillId="4" borderId="3" xfId="0" applyFont="1" applyFill="1" applyBorder="1" applyAlignment="1" applyProtection="1">
      <alignment horizontal="left" vertical="center" wrapText="1"/>
    </xf>
    <xf numFmtId="0" fontId="22" fillId="4" borderId="4" xfId="0" applyFont="1" applyFill="1" applyBorder="1" applyAlignment="1" applyProtection="1">
      <alignment horizontal="left" vertical="center" wrapText="1"/>
    </xf>
    <xf numFmtId="0" fontId="22" fillId="4" borderId="7" xfId="0" applyFont="1" applyFill="1" applyBorder="1" applyAlignment="1" applyProtection="1">
      <alignment horizontal="left" vertical="center" wrapText="1"/>
    </xf>
    <xf numFmtId="0" fontId="22" fillId="4" borderId="8" xfId="0" applyFont="1" applyFill="1" applyBorder="1" applyAlignment="1" applyProtection="1">
      <alignment horizontal="left" vertical="center" wrapText="1"/>
    </xf>
    <xf numFmtId="0" fontId="22" fillId="4" borderId="9" xfId="0" applyFont="1" applyFill="1" applyBorder="1" applyAlignment="1" applyProtection="1">
      <alignment horizontal="left" vertical="center" wrapText="1"/>
    </xf>
    <xf numFmtId="0" fontId="24" fillId="4" borderId="10" xfId="0" applyFont="1" applyFill="1" applyBorder="1" applyAlignment="1">
      <alignment horizontal="left" vertical="center"/>
    </xf>
    <xf numFmtId="0" fontId="24" fillId="4" borderId="12" xfId="0" applyFont="1" applyFill="1" applyBorder="1" applyAlignment="1">
      <alignment horizontal="left" vertical="center"/>
    </xf>
    <xf numFmtId="0" fontId="24" fillId="4" borderId="11" xfId="0" applyFont="1" applyFill="1" applyBorder="1" applyAlignment="1">
      <alignment horizontal="left" vertical="center"/>
    </xf>
    <xf numFmtId="0" fontId="22" fillId="0" borderId="1" xfId="0" applyFont="1" applyFill="1" applyBorder="1" applyAlignment="1">
      <alignment horizontal="left" vertical="center"/>
    </xf>
    <xf numFmtId="0" fontId="24" fillId="4" borderId="10" xfId="0" applyFont="1" applyFill="1" applyBorder="1" applyAlignment="1" applyProtection="1">
      <alignment horizontal="left" vertical="center"/>
    </xf>
    <xf numFmtId="0" fontId="24" fillId="4" borderId="12" xfId="0" applyFont="1" applyFill="1" applyBorder="1" applyAlignment="1" applyProtection="1">
      <alignment horizontal="left" vertical="center"/>
    </xf>
    <xf numFmtId="0" fontId="24" fillId="4" borderId="11" xfId="0" applyFont="1" applyFill="1" applyBorder="1" applyAlignment="1" applyProtection="1">
      <alignment horizontal="left" vertical="center"/>
    </xf>
    <xf numFmtId="0" fontId="15" fillId="0" borderId="1" xfId="2" applyFill="1" applyBorder="1" applyAlignment="1" applyProtection="1">
      <alignment horizontal="left" vertical="center"/>
      <protection locked="0"/>
    </xf>
    <xf numFmtId="0" fontId="22" fillId="0" borderId="1" xfId="0" applyFont="1" applyFill="1" applyBorder="1" applyAlignment="1" applyProtection="1">
      <alignment horizontal="left" vertical="center"/>
      <protection locked="0"/>
    </xf>
    <xf numFmtId="0" fontId="22" fillId="0" borderId="10" xfId="0" applyFont="1" applyFill="1" applyBorder="1" applyAlignment="1" applyProtection="1">
      <alignment horizontal="left" vertical="center" shrinkToFit="1"/>
      <protection locked="0"/>
    </xf>
    <xf numFmtId="0" fontId="22" fillId="0" borderId="12" xfId="0" applyFont="1" applyFill="1" applyBorder="1" applyAlignment="1" applyProtection="1">
      <alignment horizontal="left" vertical="center" shrinkToFit="1"/>
      <protection locked="0"/>
    </xf>
    <xf numFmtId="0" fontId="22" fillId="0" borderId="11" xfId="0" applyFont="1" applyFill="1" applyBorder="1" applyAlignment="1" applyProtection="1">
      <alignment horizontal="left" vertical="center" shrinkToFit="1"/>
      <protection locked="0"/>
    </xf>
    <xf numFmtId="0" fontId="37" fillId="0" borderId="2" xfId="0" applyFont="1" applyFill="1" applyBorder="1" applyAlignment="1" applyProtection="1">
      <alignment horizontal="center" vertical="center"/>
      <protection locked="0"/>
    </xf>
    <xf numFmtId="0" fontId="37" fillId="0" borderId="3" xfId="0" applyFont="1" applyFill="1" applyBorder="1" applyAlignment="1" applyProtection="1">
      <alignment horizontal="center" vertical="center"/>
      <protection locked="0"/>
    </xf>
    <xf numFmtId="0" fontId="37" fillId="0" borderId="4" xfId="0" applyFont="1" applyFill="1" applyBorder="1" applyAlignment="1" applyProtection="1">
      <alignment horizontal="center" vertical="center"/>
      <protection locked="0"/>
    </xf>
    <xf numFmtId="0" fontId="37" fillId="0" borderId="12" xfId="0" applyFont="1" applyFill="1" applyBorder="1" applyAlignment="1" applyProtection="1">
      <alignment horizontal="center" vertical="center"/>
      <protection locked="0"/>
    </xf>
    <xf numFmtId="0" fontId="37" fillId="0" borderId="11" xfId="0" applyFont="1" applyFill="1" applyBorder="1" applyAlignment="1" applyProtection="1">
      <alignment horizontal="center" vertical="center"/>
      <protection locked="0"/>
    </xf>
    <xf numFmtId="0" fontId="46" fillId="4" borderId="2" xfId="2" applyFont="1" applyFill="1" applyBorder="1" applyAlignment="1" applyProtection="1">
      <alignment horizontal="center" vertical="center"/>
      <protection locked="0"/>
    </xf>
    <xf numFmtId="0" fontId="47" fillId="4" borderId="3" xfId="2" applyFont="1" applyFill="1" applyBorder="1" applyAlignment="1" applyProtection="1">
      <alignment horizontal="center" vertical="center"/>
      <protection locked="0"/>
    </xf>
    <xf numFmtId="0" fontId="47" fillId="4" borderId="4" xfId="2" applyFont="1" applyFill="1" applyBorder="1" applyAlignment="1" applyProtection="1">
      <alignment horizontal="center" vertical="center"/>
      <protection locked="0"/>
    </xf>
    <xf numFmtId="0" fontId="47" fillId="4" borderId="7" xfId="2" applyFont="1" applyFill="1" applyBorder="1" applyAlignment="1" applyProtection="1">
      <alignment horizontal="center" vertical="center"/>
      <protection locked="0"/>
    </xf>
    <xf numFmtId="0" fontId="47" fillId="4" borderId="8" xfId="2" applyFont="1" applyFill="1" applyBorder="1" applyAlignment="1" applyProtection="1">
      <alignment horizontal="center" vertical="center"/>
      <protection locked="0"/>
    </xf>
    <xf numFmtId="0" fontId="47" fillId="4" borderId="9" xfId="2" applyFont="1" applyFill="1" applyBorder="1" applyAlignment="1" applyProtection="1">
      <alignment horizontal="center" vertical="center"/>
      <protection locked="0"/>
    </xf>
    <xf numFmtId="0" fontId="0" fillId="0" borderId="0" xfId="0" applyAlignment="1">
      <alignment horizontal="center" vertical="center"/>
    </xf>
    <xf numFmtId="0" fontId="0" fillId="0" borderId="0" xfId="0" applyFont="1" applyBorder="1" applyAlignment="1">
      <alignment horizontal="center" vertical="center"/>
    </xf>
    <xf numFmtId="0" fontId="0" fillId="0" borderId="8" xfId="0" applyFont="1" applyBorder="1" applyAlignment="1">
      <alignment horizontal="left" vertical="center"/>
    </xf>
    <xf numFmtId="0" fontId="9" fillId="0" borderId="0" xfId="0" applyFont="1" applyAlignment="1">
      <alignment horizontal="center" vertical="top"/>
    </xf>
    <xf numFmtId="0" fontId="10" fillId="0" borderId="0" xfId="0" applyFont="1" applyAlignment="1">
      <alignment horizontal="right" vertical="center"/>
    </xf>
    <xf numFmtId="178" fontId="7" fillId="0" borderId="0" xfId="0" applyNumberFormat="1" applyFont="1" applyFill="1" applyAlignment="1">
      <alignment horizontal="right"/>
    </xf>
    <xf numFmtId="0" fontId="3" fillId="0" borderId="0" xfId="0" applyFont="1" applyAlignment="1">
      <alignment horizontal="center" vertical="center"/>
    </xf>
    <xf numFmtId="0" fontId="0" fillId="0" borderId="0" xfId="0" applyBorder="1" applyAlignment="1">
      <alignment horizontal="center" vertical="center"/>
    </xf>
    <xf numFmtId="0" fontId="0" fillId="0" borderId="8" xfId="0" applyBorder="1" applyAlignment="1">
      <alignment horizontal="left"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26" fillId="0" borderId="3" xfId="0" applyFont="1" applyFill="1" applyBorder="1">
      <alignment vertical="center"/>
    </xf>
    <xf numFmtId="0" fontId="26" fillId="0" borderId="4" xfId="0" applyFont="1" applyFill="1" applyBorder="1">
      <alignmen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15" fillId="0" borderId="0" xfId="2" applyFill="1" applyBorder="1" applyAlignment="1">
      <alignment vertical="center"/>
    </xf>
    <xf numFmtId="0" fontId="8" fillId="0" borderId="0" xfId="0" applyFont="1" applyFill="1">
      <alignment vertical="center"/>
    </xf>
    <xf numFmtId="0" fontId="29" fillId="0" borderId="10" xfId="0" applyFont="1" applyFill="1" applyBorder="1" applyAlignment="1">
      <alignment horizontal="center" vertical="center" wrapText="1"/>
    </xf>
    <xf numFmtId="0" fontId="29" fillId="0" borderId="11" xfId="0" applyFont="1" applyFill="1" applyBorder="1" applyAlignment="1">
      <alignment horizontal="center" vertical="center"/>
    </xf>
    <xf numFmtId="0" fontId="30" fillId="0" borderId="10" xfId="0" applyFont="1" applyFill="1" applyBorder="1" applyAlignment="1">
      <alignment horizontal="center" vertical="center"/>
    </xf>
    <xf numFmtId="0" fontId="31" fillId="0" borderId="12" xfId="0" applyFont="1" applyFill="1" applyBorder="1" applyAlignment="1">
      <alignment horizontal="center" vertical="center"/>
    </xf>
    <xf numFmtId="0" fontId="31" fillId="0" borderId="11" xfId="0" applyFont="1" applyFill="1" applyBorder="1" applyAlignment="1">
      <alignment horizontal="center" vertical="center"/>
    </xf>
    <xf numFmtId="0" fontId="29" fillId="0" borderId="15" xfId="0" applyFont="1" applyFill="1" applyBorder="1" applyAlignment="1">
      <alignment horizontal="center" vertical="center"/>
    </xf>
    <xf numFmtId="0" fontId="29" fillId="0" borderId="13" xfId="0" applyFont="1" applyFill="1" applyBorder="1" applyAlignment="1">
      <alignment horizontal="center" vertical="center"/>
    </xf>
    <xf numFmtId="0" fontId="25" fillId="0" borderId="0" xfId="0" applyFont="1" applyFill="1" applyAlignment="1">
      <alignment horizontal="center" vertical="center"/>
    </xf>
    <xf numFmtId="0" fontId="25" fillId="0" borderId="6" xfId="0" applyFont="1" applyFill="1" applyBorder="1" applyAlignment="1">
      <alignment horizontal="center" vertical="center"/>
    </xf>
    <xf numFmtId="0" fontId="26" fillId="0" borderId="12" xfId="0" applyFont="1" applyFill="1" applyBorder="1" applyAlignment="1">
      <alignment vertical="center" wrapText="1"/>
    </xf>
    <xf numFmtId="0" fontId="26" fillId="0" borderId="12" xfId="0" applyFont="1" applyFill="1" applyBorder="1">
      <alignment vertical="center"/>
    </xf>
    <xf numFmtId="0" fontId="14" fillId="0" borderId="0" xfId="0" applyFont="1" applyAlignment="1">
      <alignment horizontal="center" vertical="center"/>
    </xf>
    <xf numFmtId="0" fontId="29" fillId="0" borderId="10" xfId="0" applyFont="1" applyFill="1" applyBorder="1" applyAlignment="1">
      <alignment horizontal="center" vertical="center"/>
    </xf>
    <xf numFmtId="0" fontId="5" fillId="0" borderId="10" xfId="0" applyFont="1" applyFill="1" applyBorder="1" applyAlignment="1">
      <alignment horizontal="center" vertical="center"/>
    </xf>
    <xf numFmtId="0" fontId="5" fillId="0" borderId="11" xfId="0" applyFont="1" applyFill="1" applyBorder="1" applyAlignment="1">
      <alignment horizontal="center" vertical="center"/>
    </xf>
    <xf numFmtId="0" fontId="25" fillId="0" borderId="10" xfId="0" applyNumberFormat="1" applyFont="1" applyFill="1" applyBorder="1" applyAlignment="1">
      <alignment horizontal="center" vertical="center"/>
    </xf>
    <xf numFmtId="0" fontId="25" fillId="0" borderId="12" xfId="0" applyNumberFormat="1" applyFont="1" applyFill="1" applyBorder="1" applyAlignment="1">
      <alignment horizontal="center" vertical="center"/>
    </xf>
    <xf numFmtId="0" fontId="25" fillId="0" borderId="11" xfId="0" applyNumberFormat="1" applyFont="1" applyFill="1" applyBorder="1" applyAlignment="1">
      <alignment horizontal="center" vertical="center"/>
    </xf>
    <xf numFmtId="0" fontId="25" fillId="0" borderId="12" xfId="0" applyFont="1" applyFill="1" applyBorder="1" applyAlignment="1">
      <alignment horizontal="center" vertical="center"/>
    </xf>
    <xf numFmtId="0" fontId="25" fillId="0" borderId="11" xfId="0" applyFont="1" applyFill="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0" fillId="0" borderId="0" xfId="0" applyFont="1" applyAlignment="1">
      <alignment vertical="top" wrapText="1"/>
    </xf>
    <xf numFmtId="0" fontId="1" fillId="2" borderId="0" xfId="0" applyFont="1" applyFill="1" applyProtection="1">
      <alignment vertical="center"/>
      <protection locked="0"/>
    </xf>
    <xf numFmtId="0" fontId="13" fillId="0" borderId="0" xfId="0" applyFont="1" applyAlignment="1">
      <alignment vertical="top" wrapText="1"/>
    </xf>
    <xf numFmtId="0" fontId="26" fillId="0" borderId="12" xfId="0" applyFont="1" applyFill="1" applyBorder="1" applyAlignment="1">
      <alignment horizontal="center" vertical="center" shrinkToFit="1"/>
    </xf>
    <xf numFmtId="0" fontId="26" fillId="0" borderId="12" xfId="0" applyFont="1" applyFill="1" applyBorder="1" applyAlignment="1">
      <alignment horizontal="center" vertical="center" wrapText="1"/>
    </xf>
    <xf numFmtId="0" fontId="26" fillId="0" borderId="11"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43" fillId="0" borderId="11" xfId="0" applyFont="1" applyBorder="1" applyAlignment="1">
      <alignment horizontal="center" vertical="center"/>
    </xf>
    <xf numFmtId="0" fontId="43" fillId="0" borderId="1" xfId="0" applyFont="1" applyBorder="1" applyAlignment="1">
      <alignment horizontal="center" vertical="center"/>
    </xf>
    <xf numFmtId="0" fontId="43" fillId="0" borderId="0" xfId="0" applyFont="1" applyAlignment="1">
      <alignment horizontal="left" vertical="center"/>
    </xf>
    <xf numFmtId="0" fontId="43" fillId="6" borderId="31" xfId="0" applyFont="1" applyFill="1" applyBorder="1" applyAlignment="1">
      <alignment horizontal="center" vertical="center"/>
    </xf>
    <xf numFmtId="0" fontId="43" fillId="6" borderId="32" xfId="0" applyFont="1" applyFill="1" applyBorder="1" applyAlignment="1">
      <alignment horizontal="center" vertical="center"/>
    </xf>
    <xf numFmtId="0" fontId="43" fillId="6" borderId="33" xfId="0" applyFont="1" applyFill="1" applyBorder="1" applyAlignment="1">
      <alignment horizontal="center" vertical="center"/>
    </xf>
    <xf numFmtId="0" fontId="43" fillId="6" borderId="11" xfId="0" applyFont="1" applyFill="1" applyBorder="1" applyAlignment="1">
      <alignment horizontal="center" vertical="center"/>
    </xf>
    <xf numFmtId="0" fontId="43" fillId="6" borderId="1" xfId="0" applyFont="1" applyFill="1" applyBorder="1" applyAlignment="1">
      <alignment horizontal="center" vertical="center"/>
    </xf>
    <xf numFmtId="0" fontId="48" fillId="4" borderId="4" xfId="0" applyFont="1" applyFill="1" applyBorder="1" applyAlignment="1" applyProtection="1">
      <alignment horizontal="center" vertical="center"/>
    </xf>
    <xf numFmtId="0" fontId="48" fillId="4" borderId="15" xfId="0" applyFont="1" applyFill="1" applyBorder="1" applyAlignment="1" applyProtection="1">
      <alignment horizontal="center" vertical="center"/>
    </xf>
    <xf numFmtId="0" fontId="43" fillId="5" borderId="28" xfId="0" applyFont="1" applyFill="1" applyBorder="1" applyAlignment="1" applyProtection="1">
      <alignment horizontal="center" vertical="center"/>
      <protection locked="0"/>
    </xf>
    <xf numFmtId="0" fontId="43" fillId="5" borderId="29" xfId="0" applyFont="1" applyFill="1" applyBorder="1" applyAlignment="1" applyProtection="1">
      <alignment horizontal="center" vertical="center"/>
      <protection locked="0"/>
    </xf>
    <xf numFmtId="0" fontId="43" fillId="5" borderId="30" xfId="0" applyFont="1" applyFill="1" applyBorder="1" applyAlignment="1" applyProtection="1">
      <alignment horizontal="center" vertical="center"/>
      <protection locked="0"/>
    </xf>
    <xf numFmtId="0" fontId="43" fillId="0" borderId="34" xfId="0" applyFont="1" applyFill="1" applyBorder="1" applyAlignment="1">
      <alignment horizontal="center" vertical="center"/>
    </xf>
    <xf numFmtId="0" fontId="43" fillId="0" borderId="35" xfId="0" applyFont="1" applyFill="1" applyBorder="1" applyAlignment="1">
      <alignment horizontal="center" vertical="center"/>
    </xf>
    <xf numFmtId="0" fontId="43" fillId="0" borderId="36" xfId="0" applyFont="1" applyFill="1" applyBorder="1" applyAlignment="1">
      <alignment horizontal="center" vertical="center"/>
    </xf>
    <xf numFmtId="0" fontId="43" fillId="0" borderId="37" xfId="0" applyFont="1" applyBorder="1" applyAlignment="1">
      <alignment horizontal="center" vertical="center"/>
    </xf>
    <xf numFmtId="0" fontId="43" fillId="0" borderId="15" xfId="0" applyFont="1" applyBorder="1" applyAlignment="1">
      <alignment horizontal="center" vertical="center"/>
    </xf>
    <xf numFmtId="0" fontId="43" fillId="0" borderId="38" xfId="0" applyFont="1" applyBorder="1" applyAlignment="1">
      <alignment horizontal="center" vertical="center"/>
    </xf>
    <xf numFmtId="0" fontId="22" fillId="8" borderId="10" xfId="0" applyFont="1" applyFill="1" applyBorder="1" applyAlignment="1" applyProtection="1">
      <alignment horizontal="center" vertical="center" shrinkToFit="1"/>
      <protection locked="0"/>
    </xf>
    <xf numFmtId="0" fontId="22" fillId="8" borderId="12" xfId="0" applyFont="1" applyFill="1" applyBorder="1" applyAlignment="1" applyProtection="1">
      <alignment horizontal="center" vertical="center" shrinkToFit="1"/>
      <protection locked="0"/>
    </xf>
    <xf numFmtId="0" fontId="22" fillId="8" borderId="11" xfId="0" applyFont="1" applyFill="1" applyBorder="1" applyAlignment="1" applyProtection="1">
      <alignment horizontal="center" vertical="center" shrinkToFit="1"/>
      <protection locked="0"/>
    </xf>
  </cellXfs>
  <cellStyles count="8">
    <cellStyle name="ハイパーリンク" xfId="2" builtinId="8"/>
    <cellStyle name="桁区切り" xfId="7" builtinId="6"/>
    <cellStyle name="桁区切り 2" xfId="5" xr:uid="{00000000-0005-0000-0000-000002000000}"/>
    <cellStyle name="標準" xfId="0" builtinId="0"/>
    <cellStyle name="標準 2" xfId="1" xr:uid="{00000000-0005-0000-0000-000004000000}"/>
    <cellStyle name="標準 2 2" xfId="3" xr:uid="{00000000-0005-0000-0000-000005000000}"/>
    <cellStyle name="標準 2 2 2" xfId="4" xr:uid="{00000000-0005-0000-0000-000006000000}"/>
    <cellStyle name="標準 3" xfId="6" xr:uid="{00000000-0005-0000-0000-000007000000}"/>
  </cellStyles>
  <dxfs count="5">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2" tint="-0.499984740745262"/>
        </patternFill>
      </fill>
    </dxf>
  </dxfs>
  <tableStyles count="0" defaultTableStyle="TableStyleMedium2" defaultPivotStyle="PivotStyleLight16"/>
  <colors>
    <mruColors>
      <color rgb="FFFFFF99"/>
      <color rgb="FFFFFFCC"/>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BT$29" lockText="1" noThreeD="1"/>
</file>

<file path=xl/ctrlProps/ctrlProp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57</xdr:col>
      <xdr:colOff>123265</xdr:colOff>
      <xdr:row>18</xdr:row>
      <xdr:rowOff>44824</xdr:rowOff>
    </xdr:from>
    <xdr:to>
      <xdr:col>70</xdr:col>
      <xdr:colOff>44822</xdr:colOff>
      <xdr:row>19</xdr:row>
      <xdr:rowOff>123265</xdr:rowOff>
    </xdr:to>
    <xdr:cxnSp macro="">
      <xdr:nvCxnSpPr>
        <xdr:cNvPr id="10" name="直線矢印コネクタ 9">
          <a:extLst>
            <a:ext uri="{FF2B5EF4-FFF2-40B4-BE49-F238E27FC236}">
              <a16:creationId xmlns:a16="http://schemas.microsoft.com/office/drawing/2014/main" id="{00000000-0008-0000-0000-00000A000000}"/>
            </a:ext>
          </a:extLst>
        </xdr:cNvPr>
        <xdr:cNvCxnSpPr>
          <a:stCxn id="39" idx="1"/>
        </xdr:cNvCxnSpPr>
      </xdr:nvCxnSpPr>
      <xdr:spPr>
        <a:xfrm flipH="1">
          <a:off x="10567147" y="4863353"/>
          <a:ext cx="2252381" cy="29135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70</xdr:col>
      <xdr:colOff>0</xdr:colOff>
      <xdr:row>24</xdr:row>
      <xdr:rowOff>25588</xdr:rowOff>
    </xdr:from>
    <xdr:ext cx="3025588" cy="481852"/>
    <xdr:sp macro="" textlink="">
      <xdr:nvSpPr>
        <xdr:cNvPr id="19" name="テキスト ボックス 18">
          <a:extLst>
            <a:ext uri="{FF2B5EF4-FFF2-40B4-BE49-F238E27FC236}">
              <a16:creationId xmlns:a16="http://schemas.microsoft.com/office/drawing/2014/main" id="{00000000-0008-0000-0000-000013000000}"/>
            </a:ext>
          </a:extLst>
        </xdr:cNvPr>
        <xdr:cNvSpPr txBox="1"/>
      </xdr:nvSpPr>
      <xdr:spPr>
        <a:xfrm>
          <a:off x="11721353" y="4877735"/>
          <a:ext cx="3025588" cy="481852"/>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b="0" u="none">
              <a:solidFill>
                <a:sysClr val="windowText" lastClr="000000"/>
              </a:solidFill>
            </a:rPr>
            <a:t>希望する送配電設備の連系点がありましたら、電柱表示名をご記入ください。その場合緯度経度は不要です。</a:t>
          </a:r>
          <a:endParaRPr kumimoji="1" lang="en-US" altLang="ja-JP" sz="900" b="0" u="none">
            <a:solidFill>
              <a:sysClr val="windowText" lastClr="000000"/>
            </a:solidFill>
          </a:endParaRPr>
        </a:p>
      </xdr:txBody>
    </xdr:sp>
    <xdr:clientData/>
  </xdr:oneCellAnchor>
  <xdr:twoCellAnchor>
    <xdr:from>
      <xdr:col>64</xdr:col>
      <xdr:colOff>107674</xdr:colOff>
      <xdr:row>25</xdr:row>
      <xdr:rowOff>79189</xdr:rowOff>
    </xdr:from>
    <xdr:to>
      <xdr:col>70</xdr:col>
      <xdr:colOff>0</xdr:colOff>
      <xdr:row>25</xdr:row>
      <xdr:rowOff>99391</xdr:rowOff>
    </xdr:to>
    <xdr:cxnSp macro="">
      <xdr:nvCxnSpPr>
        <xdr:cNvPr id="20" name="直線矢印コネクタ 19">
          <a:extLst>
            <a:ext uri="{FF2B5EF4-FFF2-40B4-BE49-F238E27FC236}">
              <a16:creationId xmlns:a16="http://schemas.microsoft.com/office/drawing/2014/main" id="{00000000-0008-0000-0000-000014000000}"/>
            </a:ext>
          </a:extLst>
        </xdr:cNvPr>
        <xdr:cNvCxnSpPr>
          <a:stCxn id="19" idx="1"/>
        </xdr:cNvCxnSpPr>
      </xdr:nvCxnSpPr>
      <xdr:spPr>
        <a:xfrm flipH="1">
          <a:off x="11297478" y="5098450"/>
          <a:ext cx="993913" cy="2020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70</xdr:col>
      <xdr:colOff>44822</xdr:colOff>
      <xdr:row>17</xdr:row>
      <xdr:rowOff>123265</xdr:rowOff>
    </xdr:from>
    <xdr:ext cx="2429792" cy="246529"/>
    <xdr:sp macro="" textlink="">
      <xdr:nvSpPr>
        <xdr:cNvPr id="39" name="テキスト ボックス 38">
          <a:extLst>
            <a:ext uri="{FF2B5EF4-FFF2-40B4-BE49-F238E27FC236}">
              <a16:creationId xmlns:a16="http://schemas.microsoft.com/office/drawing/2014/main" id="{00000000-0008-0000-0000-000027000000}"/>
            </a:ext>
          </a:extLst>
        </xdr:cNvPr>
        <xdr:cNvSpPr txBox="1"/>
      </xdr:nvSpPr>
      <xdr:spPr>
        <a:xfrm>
          <a:off x="12819528" y="4740089"/>
          <a:ext cx="2429792" cy="246529"/>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solidFill>
                <a:schemeClr val="tx1"/>
              </a:solidFill>
              <a:effectLst/>
              <a:latin typeface="+mn-lt"/>
              <a:ea typeface="+mn-ea"/>
              <a:cs typeface="+mn-cs"/>
            </a:rPr>
            <a:t>自家消費電力が不明の場合は記入不要です。</a:t>
          </a:r>
          <a:endParaRPr kumimoji="1" lang="ja-JP" altLang="en-US" sz="900">
            <a:solidFill>
              <a:schemeClr val="bg1"/>
            </a:solidFill>
          </a:endParaRPr>
        </a:p>
      </xdr:txBody>
    </xdr:sp>
    <xdr:clientData/>
  </xdr:oneCellAnchor>
  <xdr:oneCellAnchor>
    <xdr:from>
      <xdr:col>70</xdr:col>
      <xdr:colOff>44822</xdr:colOff>
      <xdr:row>19</xdr:row>
      <xdr:rowOff>22412</xdr:rowOff>
    </xdr:from>
    <xdr:ext cx="3440207" cy="280148"/>
    <xdr:sp macro="" textlink="">
      <xdr:nvSpPr>
        <xdr:cNvPr id="40" name="テキスト ボックス 39">
          <a:extLst>
            <a:ext uri="{FF2B5EF4-FFF2-40B4-BE49-F238E27FC236}">
              <a16:creationId xmlns:a16="http://schemas.microsoft.com/office/drawing/2014/main" id="{00000000-0008-0000-0000-000028000000}"/>
            </a:ext>
          </a:extLst>
        </xdr:cNvPr>
        <xdr:cNvSpPr txBox="1"/>
      </xdr:nvSpPr>
      <xdr:spPr>
        <a:xfrm>
          <a:off x="12819528" y="5053853"/>
          <a:ext cx="3440207" cy="280148"/>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solidFill>
                <a:schemeClr val="tx1"/>
              </a:solidFill>
              <a:effectLst/>
              <a:latin typeface="+mn-lt"/>
              <a:ea typeface="+mn-ea"/>
              <a:cs typeface="+mn-cs"/>
            </a:rPr>
            <a:t> 電力系統側に流出する最大電力（発電設備容量－自家消費電力）</a:t>
          </a:r>
          <a:endParaRPr kumimoji="1" lang="en-US" altLang="ja-JP" sz="900">
            <a:solidFill>
              <a:schemeClr val="bg1"/>
            </a:solidFill>
            <a:effectLst/>
            <a:latin typeface="+mn-lt"/>
            <a:ea typeface="+mn-ea"/>
            <a:cs typeface="+mn-cs"/>
          </a:endParaRPr>
        </a:p>
      </xdr:txBody>
    </xdr:sp>
    <xdr:clientData/>
  </xdr:oneCellAnchor>
  <xdr:twoCellAnchor>
    <xdr:from>
      <xdr:col>57</xdr:col>
      <xdr:colOff>168089</xdr:colOff>
      <xdr:row>19</xdr:row>
      <xdr:rowOff>162486</xdr:rowOff>
    </xdr:from>
    <xdr:to>
      <xdr:col>70</xdr:col>
      <xdr:colOff>44822</xdr:colOff>
      <xdr:row>20</xdr:row>
      <xdr:rowOff>134470</xdr:rowOff>
    </xdr:to>
    <xdr:cxnSp macro="">
      <xdr:nvCxnSpPr>
        <xdr:cNvPr id="41" name="直線矢印コネクタ 40">
          <a:extLst>
            <a:ext uri="{FF2B5EF4-FFF2-40B4-BE49-F238E27FC236}">
              <a16:creationId xmlns:a16="http://schemas.microsoft.com/office/drawing/2014/main" id="{00000000-0008-0000-0000-000029000000}"/>
            </a:ext>
          </a:extLst>
        </xdr:cNvPr>
        <xdr:cNvCxnSpPr>
          <a:stCxn id="40" idx="1"/>
        </xdr:cNvCxnSpPr>
      </xdr:nvCxnSpPr>
      <xdr:spPr>
        <a:xfrm flipH="1">
          <a:off x="10611971" y="5193927"/>
          <a:ext cx="2207557" cy="18489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89649</xdr:colOff>
      <xdr:row>14</xdr:row>
      <xdr:rowOff>89647</xdr:rowOff>
    </xdr:from>
    <xdr:to>
      <xdr:col>74</xdr:col>
      <xdr:colOff>22408</xdr:colOff>
      <xdr:row>15</xdr:row>
      <xdr:rowOff>89647</xdr:rowOff>
    </xdr:to>
    <xdr:cxnSp macro="">
      <xdr:nvCxnSpPr>
        <xdr:cNvPr id="18" name="直線矢印コネクタ 17">
          <a:extLst>
            <a:ext uri="{FF2B5EF4-FFF2-40B4-BE49-F238E27FC236}">
              <a16:creationId xmlns:a16="http://schemas.microsoft.com/office/drawing/2014/main" id="{00000000-0008-0000-0000-000012000000}"/>
            </a:ext>
          </a:extLst>
        </xdr:cNvPr>
        <xdr:cNvCxnSpPr>
          <a:stCxn id="21" idx="1"/>
        </xdr:cNvCxnSpPr>
      </xdr:nvCxnSpPr>
      <xdr:spPr>
        <a:xfrm flipH="1">
          <a:off x="10533531" y="3709147"/>
          <a:ext cx="2162730" cy="20170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74</xdr:col>
      <xdr:colOff>22408</xdr:colOff>
      <xdr:row>11</xdr:row>
      <xdr:rowOff>156882</xdr:rowOff>
    </xdr:from>
    <xdr:ext cx="3608298" cy="1075765"/>
    <xdr:sp macro="" textlink="">
      <xdr:nvSpPr>
        <xdr:cNvPr id="21" name="テキスト ボックス 20">
          <a:extLst>
            <a:ext uri="{FF2B5EF4-FFF2-40B4-BE49-F238E27FC236}">
              <a16:creationId xmlns:a16="http://schemas.microsoft.com/office/drawing/2014/main" id="{00000000-0008-0000-0000-000015000000}"/>
            </a:ext>
          </a:extLst>
        </xdr:cNvPr>
        <xdr:cNvSpPr txBox="1"/>
      </xdr:nvSpPr>
      <xdr:spPr>
        <a:xfrm>
          <a:off x="12696261" y="3171264"/>
          <a:ext cx="3608298" cy="1075765"/>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solidFill>
                <a:srgbClr val="FF0000"/>
              </a:solidFill>
            </a:rPr>
            <a:t>・発電設備等の設置場所を緯度経度を</a:t>
          </a:r>
          <a:r>
            <a:rPr kumimoji="1" lang="en-US" altLang="ja-JP" sz="900">
              <a:solidFill>
                <a:srgbClr val="FF0000"/>
              </a:solidFill>
            </a:rPr>
            <a:t>10</a:t>
          </a:r>
          <a:r>
            <a:rPr kumimoji="1" lang="ja-JP" altLang="en-US" sz="900">
              <a:solidFill>
                <a:srgbClr val="FF0000"/>
              </a:solidFill>
            </a:rPr>
            <a:t>進法の形式でご記入ください。</a:t>
          </a:r>
          <a:endParaRPr kumimoji="1" lang="en-US" altLang="ja-JP" sz="900">
            <a:solidFill>
              <a:srgbClr val="FF0000"/>
            </a:solidFill>
          </a:endParaRPr>
        </a:p>
        <a:p>
          <a:r>
            <a:rPr kumimoji="1" lang="ja-JP" altLang="en-US" sz="900">
              <a:solidFill>
                <a:srgbClr val="FF0000"/>
              </a:solidFill>
            </a:rPr>
            <a:t>　</a:t>
          </a:r>
          <a:r>
            <a:rPr kumimoji="1" lang="en-US" altLang="ja-JP" sz="900">
              <a:solidFill>
                <a:srgbClr val="FF0000"/>
              </a:solidFill>
            </a:rPr>
            <a:t>10</a:t>
          </a:r>
          <a:r>
            <a:rPr kumimoji="1" lang="ja-JP" altLang="en-US" sz="900">
              <a:solidFill>
                <a:srgbClr val="FF0000"/>
              </a:solidFill>
            </a:rPr>
            <a:t>進法：</a:t>
          </a:r>
          <a:r>
            <a:rPr kumimoji="1" lang="en-US" altLang="ja-JP" sz="900">
              <a:solidFill>
                <a:srgbClr val="FF0000"/>
              </a:solidFill>
            </a:rPr>
            <a:t>(</a:t>
          </a:r>
          <a:r>
            <a:rPr kumimoji="1" lang="ja-JP" altLang="en-US" sz="900">
              <a:solidFill>
                <a:srgbClr val="FF0000"/>
              </a:solidFill>
            </a:rPr>
            <a:t>緯度</a:t>
          </a:r>
          <a:r>
            <a:rPr kumimoji="1" lang="en-US" altLang="ja-JP" sz="900">
              <a:solidFill>
                <a:srgbClr val="FF0000"/>
              </a:solidFill>
            </a:rPr>
            <a:t>)</a:t>
          </a:r>
          <a:r>
            <a:rPr kumimoji="1" lang="ja-JP" altLang="en-US" sz="900">
              <a:solidFill>
                <a:srgbClr val="FF0000"/>
              </a:solidFill>
            </a:rPr>
            <a:t>〇〇</a:t>
          </a:r>
          <a:r>
            <a:rPr kumimoji="1" lang="en-US" altLang="ja-JP" sz="900">
              <a:solidFill>
                <a:srgbClr val="FF0000"/>
              </a:solidFill>
            </a:rPr>
            <a:t>.</a:t>
          </a:r>
          <a:r>
            <a:rPr kumimoji="1" lang="ja-JP" altLang="en-US" sz="900">
              <a:solidFill>
                <a:srgbClr val="FF0000"/>
              </a:solidFill>
            </a:rPr>
            <a:t>〇〇〇〇 </a:t>
          </a:r>
          <a:r>
            <a:rPr kumimoji="1" lang="en-US" altLang="ja-JP" sz="900">
              <a:solidFill>
                <a:srgbClr val="FF0000"/>
              </a:solidFill>
            </a:rPr>
            <a:t>(</a:t>
          </a:r>
          <a:r>
            <a:rPr kumimoji="1" lang="ja-JP" altLang="en-US" sz="900">
              <a:solidFill>
                <a:srgbClr val="FF0000"/>
              </a:solidFill>
            </a:rPr>
            <a:t>経度</a:t>
          </a:r>
          <a:r>
            <a:rPr kumimoji="1" lang="en-US" altLang="ja-JP" sz="900">
              <a:solidFill>
                <a:srgbClr val="FF0000"/>
              </a:solidFill>
            </a:rPr>
            <a:t>)</a:t>
          </a:r>
          <a:r>
            <a:rPr kumimoji="1" lang="ja-JP" altLang="en-US" sz="900">
              <a:solidFill>
                <a:srgbClr val="FF0000"/>
              </a:solidFill>
            </a:rPr>
            <a:t>〇〇〇</a:t>
          </a:r>
          <a:r>
            <a:rPr kumimoji="1" lang="en-US" altLang="ja-JP" sz="900">
              <a:solidFill>
                <a:srgbClr val="FF0000"/>
              </a:solidFill>
            </a:rPr>
            <a:t>.</a:t>
          </a:r>
          <a:r>
            <a:rPr kumimoji="1" lang="ja-JP" altLang="en-US" sz="900">
              <a:solidFill>
                <a:srgbClr val="FF0000"/>
              </a:solidFill>
            </a:rPr>
            <a:t>〇〇〇〇</a:t>
          </a:r>
          <a:endParaRPr kumimoji="1" lang="en-US" altLang="ja-JP" sz="900">
            <a:solidFill>
              <a:srgbClr val="FF0000"/>
            </a:solidFill>
          </a:endParaRPr>
        </a:p>
        <a:p>
          <a:r>
            <a:rPr kumimoji="1" lang="ja-JP" altLang="en-US" sz="900">
              <a:solidFill>
                <a:srgbClr val="FF0000"/>
              </a:solidFill>
            </a:rPr>
            <a:t>　</a:t>
          </a:r>
          <a:r>
            <a:rPr kumimoji="1" lang="en-US" altLang="ja-JP" sz="900">
              <a:solidFill>
                <a:srgbClr val="FF0000"/>
              </a:solidFill>
            </a:rPr>
            <a:t>60</a:t>
          </a:r>
          <a:r>
            <a:rPr kumimoji="1" lang="ja-JP" altLang="en-US" sz="900">
              <a:solidFill>
                <a:srgbClr val="FF0000"/>
              </a:solidFill>
            </a:rPr>
            <a:t>進法：</a:t>
          </a:r>
          <a:r>
            <a:rPr kumimoji="1" lang="en-US" altLang="ja-JP" sz="900">
              <a:solidFill>
                <a:srgbClr val="FF0000"/>
              </a:solidFill>
            </a:rPr>
            <a:t>(</a:t>
          </a:r>
          <a:r>
            <a:rPr kumimoji="1" lang="ja-JP" altLang="en-US" sz="900">
              <a:solidFill>
                <a:srgbClr val="FF0000"/>
              </a:solidFill>
            </a:rPr>
            <a:t>緯度</a:t>
          </a:r>
          <a:r>
            <a:rPr kumimoji="1" lang="en-US" altLang="ja-JP" sz="900">
              <a:solidFill>
                <a:srgbClr val="FF0000"/>
              </a:solidFill>
            </a:rPr>
            <a:t>)</a:t>
          </a:r>
          <a:r>
            <a:rPr kumimoji="1" lang="ja-JP" altLang="en-US" sz="900">
              <a:solidFill>
                <a:srgbClr val="FF0000"/>
              </a:solidFill>
            </a:rPr>
            <a:t>〇〇度〇〇分〇〇秒 </a:t>
          </a:r>
          <a:r>
            <a:rPr kumimoji="1" lang="en-US" altLang="ja-JP" sz="900">
              <a:solidFill>
                <a:srgbClr val="FF0000"/>
              </a:solidFill>
            </a:rPr>
            <a:t>(</a:t>
          </a:r>
          <a:r>
            <a:rPr kumimoji="1" lang="ja-JP" altLang="en-US" sz="900">
              <a:solidFill>
                <a:srgbClr val="FF0000"/>
              </a:solidFill>
            </a:rPr>
            <a:t>経度</a:t>
          </a:r>
          <a:r>
            <a:rPr kumimoji="1" lang="en-US" altLang="ja-JP" sz="900">
              <a:solidFill>
                <a:srgbClr val="FF0000"/>
              </a:solidFill>
            </a:rPr>
            <a:t>)</a:t>
          </a:r>
          <a:r>
            <a:rPr kumimoji="1" lang="ja-JP" altLang="en-US" sz="900">
              <a:solidFill>
                <a:srgbClr val="FF0000"/>
              </a:solidFill>
            </a:rPr>
            <a:t>〇〇〇度〇〇分〇〇秒 </a:t>
          </a:r>
          <a:endParaRPr kumimoji="1" lang="en-US" altLang="ja-JP" sz="900">
            <a:solidFill>
              <a:srgbClr val="FF0000"/>
            </a:solidFill>
          </a:endParaRPr>
        </a:p>
        <a:p>
          <a:r>
            <a:rPr kumimoji="1" lang="ja-JP" altLang="en-US" sz="900">
              <a:solidFill>
                <a:srgbClr val="FF0000"/>
              </a:solidFill>
            </a:rPr>
            <a:t>・緯度経度をご提示いただくことで、</a:t>
          </a:r>
          <a:endParaRPr kumimoji="1" lang="en-US" altLang="ja-JP" sz="900">
            <a:solidFill>
              <a:srgbClr val="FF0000"/>
            </a:solidFill>
          </a:endParaRPr>
        </a:p>
        <a:p>
          <a:r>
            <a:rPr kumimoji="1" lang="ja-JP" altLang="en-US" sz="900">
              <a:solidFill>
                <a:srgbClr val="FF0000"/>
              </a:solidFill>
            </a:rPr>
            <a:t>◆より精度の高い回答が可能です。</a:t>
          </a:r>
          <a:endParaRPr kumimoji="1" lang="en-US" altLang="ja-JP" sz="900">
            <a:solidFill>
              <a:srgbClr val="FF0000"/>
            </a:solidFill>
          </a:endParaRPr>
        </a:p>
        <a:p>
          <a:r>
            <a:rPr kumimoji="1" lang="ja-JP" altLang="en-US" sz="900">
              <a:solidFill>
                <a:srgbClr val="FF0000"/>
              </a:solidFill>
            </a:rPr>
            <a:t>◆発電設備等設置場所の位置図貼付けが不要です。</a:t>
          </a:r>
          <a:endParaRPr kumimoji="1" lang="en-US" altLang="ja-JP" sz="900">
            <a:solidFill>
              <a:srgbClr val="FF0000"/>
            </a:solidFill>
          </a:endParaRPr>
        </a:p>
      </xdr:txBody>
    </xdr:sp>
    <xdr:clientData/>
  </xdr:oneCellAnchor>
  <xdr:oneCellAnchor>
    <xdr:from>
      <xdr:col>74</xdr:col>
      <xdr:colOff>51674</xdr:colOff>
      <xdr:row>27</xdr:row>
      <xdr:rowOff>56032</xdr:rowOff>
    </xdr:from>
    <xdr:ext cx="2952749" cy="728382"/>
    <xdr:sp macro="" textlink="">
      <xdr:nvSpPr>
        <xdr:cNvPr id="33" name="テキスト ボックス 32">
          <a:extLst>
            <a:ext uri="{FF2B5EF4-FFF2-40B4-BE49-F238E27FC236}">
              <a16:creationId xmlns:a16="http://schemas.microsoft.com/office/drawing/2014/main" id="{00000000-0008-0000-0000-000021000000}"/>
            </a:ext>
          </a:extLst>
        </xdr:cNvPr>
        <xdr:cNvSpPr txBox="1"/>
      </xdr:nvSpPr>
      <xdr:spPr>
        <a:xfrm>
          <a:off x="12725527" y="6342532"/>
          <a:ext cx="2952749" cy="728382"/>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b="0" u="sng">
              <a:solidFill>
                <a:sysClr val="windowText" lastClr="000000"/>
              </a:solidFill>
            </a:rPr>
            <a:t>最大受電電力：標準電圧</a:t>
          </a:r>
          <a:endParaRPr lang="ja-JP" altLang="en-US" sz="1100" b="1" i="0" u="sng">
            <a:solidFill>
              <a:schemeClr val="tx1"/>
            </a:solidFill>
            <a:effectLst/>
            <a:latin typeface="+mn-lt"/>
            <a:ea typeface="+mn-ea"/>
            <a:cs typeface="+mn-cs"/>
          </a:endParaRPr>
        </a:p>
        <a:p>
          <a:r>
            <a:rPr lang="en-US" altLang="ja-JP" sz="900"/>
            <a:t>50kW</a:t>
          </a:r>
          <a:r>
            <a:rPr lang="ja-JP" altLang="en-US" sz="900"/>
            <a:t>～</a:t>
          </a:r>
          <a:r>
            <a:rPr lang="en-US" altLang="ja-JP" sz="900"/>
            <a:t>1,999kW</a:t>
          </a:r>
          <a:r>
            <a:rPr lang="ja-JP" altLang="en-US" sz="900"/>
            <a:t>：</a:t>
          </a:r>
          <a:r>
            <a:rPr lang="en-US" altLang="ja-JP" sz="900"/>
            <a:t>6.6kV</a:t>
          </a:r>
        </a:p>
        <a:p>
          <a:r>
            <a:rPr kumimoji="1" lang="en-US" altLang="ja-JP" sz="900" b="0" u="none">
              <a:solidFill>
                <a:sysClr val="windowText" lastClr="000000"/>
              </a:solidFill>
            </a:rPr>
            <a:t>2,000kW</a:t>
          </a:r>
          <a:r>
            <a:rPr kumimoji="1" lang="ja-JP" altLang="en-US" sz="900" b="0" u="none">
              <a:solidFill>
                <a:sysClr val="windowText" lastClr="000000"/>
              </a:solidFill>
            </a:rPr>
            <a:t>～</a:t>
          </a:r>
          <a:r>
            <a:rPr kumimoji="1" lang="en-US" altLang="ja-JP" sz="900" b="0" u="none">
              <a:solidFill>
                <a:sysClr val="windowText" lastClr="000000"/>
              </a:solidFill>
            </a:rPr>
            <a:t>9,999kW</a:t>
          </a:r>
          <a:r>
            <a:rPr kumimoji="1" lang="ja-JP" altLang="en-US" sz="900" b="0" u="none">
              <a:solidFill>
                <a:sysClr val="windowText" lastClr="000000"/>
              </a:solidFill>
            </a:rPr>
            <a:t>：</a:t>
          </a:r>
          <a:r>
            <a:rPr kumimoji="1" lang="en-US" altLang="ja-JP" sz="900" b="0" u="none">
              <a:solidFill>
                <a:sysClr val="windowText" lastClr="000000"/>
              </a:solidFill>
            </a:rPr>
            <a:t>22(33)kV</a:t>
          </a:r>
        </a:p>
        <a:p>
          <a:r>
            <a:rPr kumimoji="1" lang="en-US" altLang="ja-JP" sz="900" b="0" u="none">
              <a:solidFill>
                <a:sysClr val="windowText" lastClr="000000"/>
              </a:solidFill>
            </a:rPr>
            <a:t>10,000kW</a:t>
          </a:r>
          <a:r>
            <a:rPr kumimoji="1" lang="ja-JP" altLang="en-US" sz="900" b="0" u="none">
              <a:solidFill>
                <a:sysClr val="windowText" lastClr="000000"/>
              </a:solidFill>
            </a:rPr>
            <a:t>～：</a:t>
          </a:r>
          <a:r>
            <a:rPr kumimoji="1" lang="en-US" altLang="ja-JP" sz="900" b="0" u="none">
              <a:solidFill>
                <a:sysClr val="windowText" lastClr="000000"/>
              </a:solidFill>
            </a:rPr>
            <a:t>77kV</a:t>
          </a:r>
        </a:p>
      </xdr:txBody>
    </xdr:sp>
    <xdr:clientData/>
  </xdr:oneCellAnchor>
  <xdr:twoCellAnchor>
    <xdr:from>
      <xdr:col>58</xdr:col>
      <xdr:colOff>56029</xdr:colOff>
      <xdr:row>27</xdr:row>
      <xdr:rowOff>56030</xdr:rowOff>
    </xdr:from>
    <xdr:to>
      <xdr:col>74</xdr:col>
      <xdr:colOff>51674</xdr:colOff>
      <xdr:row>29</xdr:row>
      <xdr:rowOff>16811</xdr:rowOff>
    </xdr:to>
    <xdr:cxnSp macro="">
      <xdr:nvCxnSpPr>
        <xdr:cNvPr id="34" name="直線矢印コネクタ 33">
          <a:extLst>
            <a:ext uri="{FF2B5EF4-FFF2-40B4-BE49-F238E27FC236}">
              <a16:creationId xmlns:a16="http://schemas.microsoft.com/office/drawing/2014/main" id="{00000000-0008-0000-0000-000022000000}"/>
            </a:ext>
          </a:extLst>
        </xdr:cNvPr>
        <xdr:cNvCxnSpPr>
          <a:stCxn id="33" idx="1"/>
        </xdr:cNvCxnSpPr>
      </xdr:nvCxnSpPr>
      <xdr:spPr>
        <a:xfrm flipH="1" flipV="1">
          <a:off x="10679205" y="6342530"/>
          <a:ext cx="2046322" cy="36419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16</xdr:col>
          <xdr:colOff>152400</xdr:colOff>
          <xdr:row>27</xdr:row>
          <xdr:rowOff>177800</xdr:rowOff>
        </xdr:from>
        <xdr:to>
          <xdr:col>17</xdr:col>
          <xdr:colOff>152400</xdr:colOff>
          <xdr:row>29</xdr:row>
          <xdr:rowOff>25400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0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177800</xdr:colOff>
          <xdr:row>27</xdr:row>
          <xdr:rowOff>184150</xdr:rowOff>
        </xdr:from>
        <xdr:to>
          <xdr:col>52</xdr:col>
          <xdr:colOff>152400</xdr:colOff>
          <xdr:row>29</xdr:row>
          <xdr:rowOff>25400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000-00001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74</xdr:col>
      <xdr:colOff>13575</xdr:colOff>
      <xdr:row>31</xdr:row>
      <xdr:rowOff>152403</xdr:rowOff>
    </xdr:from>
    <xdr:ext cx="2952749" cy="463922"/>
    <xdr:sp macro="" textlink="">
      <xdr:nvSpPr>
        <xdr:cNvPr id="26" name="テキスト ボックス 25">
          <a:extLst>
            <a:ext uri="{FF2B5EF4-FFF2-40B4-BE49-F238E27FC236}">
              <a16:creationId xmlns:a16="http://schemas.microsoft.com/office/drawing/2014/main" id="{00000000-0008-0000-0000-00001A000000}"/>
            </a:ext>
          </a:extLst>
        </xdr:cNvPr>
        <xdr:cNvSpPr txBox="1"/>
      </xdr:nvSpPr>
      <xdr:spPr>
        <a:xfrm>
          <a:off x="12788281" y="7559491"/>
          <a:ext cx="2952749" cy="463922"/>
        </a:xfrm>
        <a:prstGeom prst="rect">
          <a:avLst/>
        </a:prstGeom>
        <a:solidFill>
          <a:schemeClr val="accent2">
            <a:lumMod val="20000"/>
            <a:lumOff val="80000"/>
          </a:schemeClr>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b="0" u="none">
              <a:solidFill>
                <a:sysClr val="windowText" lastClr="000000"/>
              </a:solidFill>
            </a:rPr>
            <a:t>標準外の電圧をご希望の方は□にチェックを入れ、希望受電電圧を選択してください。</a:t>
          </a:r>
          <a:endParaRPr kumimoji="1" lang="en-US" altLang="ja-JP" sz="900" b="0" u="none">
            <a:solidFill>
              <a:sysClr val="windowText" lastClr="000000"/>
            </a:solidFill>
          </a:endParaRPr>
        </a:p>
      </xdr:txBody>
    </xdr:sp>
    <xdr:clientData/>
  </xdr:oneCellAnchor>
  <xdr:twoCellAnchor>
    <xdr:from>
      <xdr:col>58</xdr:col>
      <xdr:colOff>78442</xdr:colOff>
      <xdr:row>28</xdr:row>
      <xdr:rowOff>190500</xdr:rowOff>
    </xdr:from>
    <xdr:to>
      <xdr:col>74</xdr:col>
      <xdr:colOff>13575</xdr:colOff>
      <xdr:row>33</xdr:row>
      <xdr:rowOff>48187</xdr:rowOff>
    </xdr:to>
    <xdr:cxnSp macro="">
      <xdr:nvCxnSpPr>
        <xdr:cNvPr id="27" name="直線矢印コネクタ 26">
          <a:extLst>
            <a:ext uri="{FF2B5EF4-FFF2-40B4-BE49-F238E27FC236}">
              <a16:creationId xmlns:a16="http://schemas.microsoft.com/office/drawing/2014/main" id="{00000000-0008-0000-0000-00001B000000}"/>
            </a:ext>
          </a:extLst>
        </xdr:cNvPr>
        <xdr:cNvCxnSpPr>
          <a:stCxn id="26" idx="1"/>
        </xdr:cNvCxnSpPr>
      </xdr:nvCxnSpPr>
      <xdr:spPr>
        <a:xfrm flipH="1" flipV="1">
          <a:off x="10701618" y="7048500"/>
          <a:ext cx="2086663" cy="74295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66335</xdr:colOff>
      <xdr:row>7</xdr:row>
      <xdr:rowOff>116496</xdr:rowOff>
    </xdr:from>
    <xdr:ext cx="5581429" cy="2595328"/>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058806" y="1326731"/>
          <a:ext cx="5581429" cy="2595328"/>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solidFill>
                <a:srgbClr val="FF0000"/>
              </a:solidFill>
            </a:rPr>
            <a:t>＜ 注意事項 ＞</a:t>
          </a:r>
          <a:endParaRPr kumimoji="1" lang="en-US" altLang="ja-JP" sz="800">
            <a:solidFill>
              <a:srgbClr val="FF0000"/>
            </a:solidFill>
          </a:endParaRPr>
        </a:p>
        <a:p>
          <a:endParaRPr kumimoji="1" lang="en-US" altLang="ja-JP" sz="800">
            <a:solidFill>
              <a:srgbClr val="FF0000"/>
            </a:solidFill>
          </a:endParaRPr>
        </a:p>
        <a:p>
          <a:r>
            <a:rPr kumimoji="1" lang="ja-JP" altLang="en-US" sz="1100" b="0" u="none">
              <a:solidFill>
                <a:srgbClr val="FF0000"/>
              </a:solidFill>
            </a:rPr>
            <a:t>○</a:t>
          </a:r>
          <a:r>
            <a:rPr kumimoji="1" lang="ja-JP" altLang="en-US" sz="1100" b="1" u="sng">
              <a:solidFill>
                <a:srgbClr val="FF0000"/>
              </a:solidFill>
            </a:rPr>
            <a:t>発電設備等設置場所の緯度経度情報をご提示いただけない場合は、必ず位置図を添付してください。</a:t>
          </a:r>
          <a:r>
            <a:rPr kumimoji="1" lang="ja-JP" altLang="en-US" sz="1100" u="none">
              <a:solidFill>
                <a:srgbClr val="FF0000"/>
              </a:solidFill>
            </a:rPr>
            <a:t>（このエクセルファイルに画像を貼り付けてください。）</a:t>
          </a:r>
          <a:endParaRPr kumimoji="1" lang="en-US" altLang="ja-JP" sz="1100" u="none">
            <a:solidFill>
              <a:srgbClr val="FF0000"/>
            </a:solidFill>
          </a:endParaRPr>
        </a:p>
        <a:p>
          <a:endParaRPr kumimoji="1" lang="en-US" altLang="ja-JP" sz="1100">
            <a:solidFill>
              <a:srgbClr val="FF0000"/>
            </a:solidFill>
          </a:endParaRPr>
        </a:p>
        <a:p>
          <a:r>
            <a:rPr kumimoji="1" lang="ja-JP" altLang="en-US" sz="1100">
              <a:solidFill>
                <a:srgbClr val="FF0000"/>
              </a:solidFill>
            </a:rPr>
            <a:t>〇緯度経度情報をご提示いただければ</a:t>
          </a:r>
          <a:r>
            <a:rPr kumimoji="1" lang="ja-JP" altLang="en-US" sz="1100" u="sng">
              <a:solidFill>
                <a:srgbClr val="FF0000"/>
              </a:solidFill>
            </a:rPr>
            <a:t>位置図の添付は不要</a:t>
          </a:r>
          <a:r>
            <a:rPr kumimoji="1" lang="ja-JP" altLang="en-US" sz="1100">
              <a:solidFill>
                <a:srgbClr val="FF0000"/>
              </a:solidFill>
            </a:rPr>
            <a:t>です。</a:t>
          </a:r>
          <a:endParaRPr kumimoji="1" lang="en-US" altLang="ja-JP" sz="1100">
            <a:solidFill>
              <a:srgbClr val="FF0000"/>
            </a:solidFill>
          </a:endParaRPr>
        </a:p>
        <a:p>
          <a:endParaRPr kumimoji="1" lang="en-US" altLang="ja-JP" sz="800">
            <a:solidFill>
              <a:srgbClr val="FF0000"/>
            </a:solidFill>
          </a:endParaRPr>
        </a:p>
        <a:p>
          <a:r>
            <a:rPr kumimoji="1" lang="ja-JP" altLang="en-US" sz="1100">
              <a:solidFill>
                <a:srgbClr val="FF0000"/>
              </a:solidFill>
            </a:rPr>
            <a:t>○位置図は、</a:t>
          </a:r>
          <a:r>
            <a:rPr kumimoji="1" lang="ja-JP" altLang="en-US" sz="1100" u="sng">
              <a:solidFill>
                <a:srgbClr val="FF0000"/>
              </a:solidFill>
            </a:rPr>
            <a:t>異なる縮尺で２枚以上添付してください</a:t>
          </a:r>
          <a:r>
            <a:rPr kumimoji="1" lang="ja-JP" altLang="en-US" sz="1100">
              <a:solidFill>
                <a:srgbClr val="FF0000"/>
              </a:solidFill>
            </a:rPr>
            <a:t>（当社が希望連系点を判断するにあたり十分な情報が提供いただけない場合、申込不備として返却させていただく場合があります）。</a:t>
          </a:r>
          <a:endParaRPr kumimoji="1" lang="en-US" altLang="ja-JP" sz="1100">
            <a:solidFill>
              <a:srgbClr val="FF0000"/>
            </a:solidFill>
          </a:endParaRPr>
        </a:p>
        <a:p>
          <a:endParaRPr kumimoji="1" lang="en-US" altLang="ja-JP" sz="400">
            <a:solidFill>
              <a:srgbClr val="FF0000"/>
            </a:solidFill>
          </a:endParaRPr>
        </a:p>
        <a:p>
          <a:r>
            <a:rPr kumimoji="1" lang="ja-JP" altLang="en-US" sz="1100">
              <a:solidFill>
                <a:srgbClr val="FF0000"/>
              </a:solidFill>
            </a:rPr>
            <a:t>　・</a:t>
          </a:r>
          <a:r>
            <a:rPr kumimoji="1" lang="ja-JP" altLang="en-US" sz="1100" u="sng">
              <a:solidFill>
                <a:srgbClr val="FF0000"/>
              </a:solidFill>
            </a:rPr>
            <a:t>地形から発電場所を特定できる縮尺（尺度の分母が大きい）のもの１枚</a:t>
          </a:r>
          <a:endParaRPr kumimoji="1" lang="en-US" altLang="ja-JP" sz="1100" u="sng">
            <a:solidFill>
              <a:srgbClr val="FF0000"/>
            </a:solidFill>
          </a:endParaRPr>
        </a:p>
        <a:p>
          <a:r>
            <a:rPr kumimoji="1" lang="ja-JP" altLang="en-US" sz="1100">
              <a:solidFill>
                <a:srgbClr val="FF0000"/>
              </a:solidFill>
            </a:rPr>
            <a:t>　・</a:t>
          </a:r>
          <a:r>
            <a:rPr kumimoji="1" lang="ja-JP" altLang="en-US" sz="1100" u="sng">
              <a:solidFill>
                <a:srgbClr val="FF0000"/>
              </a:solidFill>
            </a:rPr>
            <a:t>発電場所の境界が明確に把握できる縮尺（尺度の分母が小さい）のもの１枚</a:t>
          </a:r>
          <a:endParaRPr kumimoji="1" lang="en-US" altLang="ja-JP" sz="1100" u="sng">
            <a:solidFill>
              <a:srgbClr val="FF0000"/>
            </a:solidFill>
          </a:endParaRPr>
        </a:p>
        <a:p>
          <a:r>
            <a:rPr kumimoji="1" lang="en-US" altLang="ja-JP" sz="1100" u="sng">
              <a:solidFill>
                <a:srgbClr val="FF0000"/>
              </a:solidFill>
            </a:rPr>
            <a:t>     </a:t>
          </a:r>
        </a:p>
        <a:p>
          <a:r>
            <a:rPr kumimoji="1" lang="en-US" altLang="ja-JP" sz="1100" u="none">
              <a:solidFill>
                <a:srgbClr val="FF0000"/>
              </a:solidFill>
            </a:rPr>
            <a:t>     ※ </a:t>
          </a:r>
          <a:r>
            <a:rPr kumimoji="1" lang="ja-JP" altLang="en-US" sz="1100" u="none">
              <a:solidFill>
                <a:srgbClr val="FF0000"/>
              </a:solidFill>
            </a:rPr>
            <a:t>２枚とも該当箇所を線で囲うなどの加筆・加工をお願いいたします。</a:t>
          </a:r>
          <a:endParaRPr kumimoji="1" lang="en-US" altLang="ja-JP" sz="1100" u="none">
            <a:solidFill>
              <a:srgbClr val="FF0000"/>
            </a:solidFill>
          </a:endParaRPr>
        </a:p>
        <a:p>
          <a:endParaRPr kumimoji="1" lang="ja-JP" altLang="en-US" sz="1100">
            <a:solidFill>
              <a:srgbClr val="FF0000"/>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13</xdr:col>
      <xdr:colOff>99390</xdr:colOff>
      <xdr:row>12</xdr:row>
      <xdr:rowOff>91112</xdr:rowOff>
    </xdr:from>
    <xdr:to>
      <xdr:col>13</xdr:col>
      <xdr:colOff>215346</xdr:colOff>
      <xdr:row>16</xdr:row>
      <xdr:rowOff>157372</xdr:rowOff>
    </xdr:to>
    <xdr:sp macro="" textlink="">
      <xdr:nvSpPr>
        <xdr:cNvPr id="2" name="二等辺三角形 1">
          <a:extLst>
            <a:ext uri="{FF2B5EF4-FFF2-40B4-BE49-F238E27FC236}">
              <a16:creationId xmlns:a16="http://schemas.microsoft.com/office/drawing/2014/main" id="{00000000-0008-0000-0200-000002000000}"/>
            </a:ext>
          </a:extLst>
        </xdr:cNvPr>
        <xdr:cNvSpPr/>
      </xdr:nvSpPr>
      <xdr:spPr>
        <a:xfrm rot="5400000">
          <a:off x="3292335" y="2638014"/>
          <a:ext cx="869674" cy="115956"/>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173935</xdr:colOff>
      <xdr:row>8</xdr:row>
      <xdr:rowOff>24848</xdr:rowOff>
    </xdr:from>
    <xdr:to>
      <xdr:col>11</xdr:col>
      <xdr:colOff>0</xdr:colOff>
      <xdr:row>10</xdr:row>
      <xdr:rowOff>8282</xdr:rowOff>
    </xdr:to>
    <xdr:sp macro="" textlink="">
      <xdr:nvSpPr>
        <xdr:cNvPr id="3" name="左大かっこ 2">
          <a:extLst>
            <a:ext uri="{FF2B5EF4-FFF2-40B4-BE49-F238E27FC236}">
              <a16:creationId xmlns:a16="http://schemas.microsoft.com/office/drawing/2014/main" id="{00000000-0008-0000-0200-000003000000}"/>
            </a:ext>
          </a:extLst>
        </xdr:cNvPr>
        <xdr:cNvSpPr/>
      </xdr:nvSpPr>
      <xdr:spPr>
        <a:xfrm>
          <a:off x="2923761" y="1391478"/>
          <a:ext cx="99391" cy="381000"/>
        </a:xfrm>
        <a:prstGeom prst="leftBracket">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23</xdr:col>
      <xdr:colOff>198783</xdr:colOff>
      <xdr:row>8</xdr:row>
      <xdr:rowOff>16565</xdr:rowOff>
    </xdr:from>
    <xdr:to>
      <xdr:col>24</xdr:col>
      <xdr:colOff>8283</xdr:colOff>
      <xdr:row>10</xdr:row>
      <xdr:rowOff>8282</xdr:rowOff>
    </xdr:to>
    <xdr:sp macro="" textlink="">
      <xdr:nvSpPr>
        <xdr:cNvPr id="5" name="右大かっこ 4">
          <a:extLst>
            <a:ext uri="{FF2B5EF4-FFF2-40B4-BE49-F238E27FC236}">
              <a16:creationId xmlns:a16="http://schemas.microsoft.com/office/drawing/2014/main" id="{00000000-0008-0000-0200-000005000000}"/>
            </a:ext>
          </a:extLst>
        </xdr:cNvPr>
        <xdr:cNvSpPr/>
      </xdr:nvSpPr>
      <xdr:spPr>
        <a:xfrm>
          <a:off x="6501848" y="1383195"/>
          <a:ext cx="82826" cy="389283"/>
        </a:xfrm>
        <a:prstGeom prst="rightBracket">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67843/&#12510;&#12452;%20&#12489;&#12461;&#12517;&#12513;&#12531;&#12488;/&#12501;&#12449;&#12463;&#12488;&#12539;&#12502;&#12483;&#12463;/&#12501;&#12449;&#12463;&#12488;&#12502;&#12483;&#12463;2003&#20316;&#25104;&#26178;&#12501;&#12449;&#12452;&#12523;/&#36001;&#21209;&#25351;&#27161;&#65305;&#31038;&#20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WINDOWS\&#65411;&#65438;&#65405;&#65400;&#65412;&#65391;&#65420;&#65439;\&#65419;&#65393;&#36039;&#26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10\Share\Documents%20and%20Settings\491525\Local%20Settings\Temporary%20Internet%20Files\OLKE2\&#29992;&#33337;&#24066;&#27841;0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己資本比率"/>
      <sheetName val="売上高当期利益率"/>
      <sheetName val="ＲＯＥ"/>
      <sheetName val="総資本回転率"/>
      <sheetName val="ＲＯＡ"/>
      <sheetName val="経営指標データ"/>
      <sheetName val="B"/>
      <sheetName val="諸元TBL"/>
      <sheetName val="諸元①"/>
      <sheetName val="りん議（社員用）"/>
      <sheetName val="3_TBL"/>
      <sheetName val="連絡先"/>
      <sheetName val="表"/>
      <sheetName val="入力規則"/>
      <sheetName val="リスト用"/>
    </sheetNames>
    <sheetDataSet>
      <sheetData sheetId="0" refreshError="1"/>
      <sheetData sheetId="1" refreshError="1"/>
      <sheetData sheetId="2" refreshError="1"/>
      <sheetData sheetId="3" refreshError="1"/>
      <sheetData sheetId="4" refreshError="1"/>
      <sheetData sheetId="5" refreshError="1">
        <row r="2">
          <cell r="U2" t="str">
            <v>1994</v>
          </cell>
          <cell r="V2" t="str">
            <v>1995</v>
          </cell>
          <cell r="W2" t="str">
            <v>1996</v>
          </cell>
          <cell r="X2" t="str">
            <v>1997</v>
          </cell>
          <cell r="Y2" t="str">
            <v>1998</v>
          </cell>
        </row>
        <row r="3">
          <cell r="U3">
            <v>0.16560429222803097</v>
          </cell>
          <cell r="V3">
            <v>0.1600444114459581</v>
          </cell>
          <cell r="W3">
            <v>0.15780159938389737</v>
          </cell>
          <cell r="X3">
            <v>0.15934192835160896</v>
          </cell>
          <cell r="Y3">
            <v>0.15452839048810868</v>
          </cell>
        </row>
        <row r="4">
          <cell r="U4">
            <v>0.10554747140961586</v>
          </cell>
          <cell r="V4">
            <v>0.10095014664796575</v>
          </cell>
          <cell r="W4">
            <v>0.10048469763651252</v>
          </cell>
          <cell r="X4">
            <v>0.10412872729266757</v>
          </cell>
          <cell r="Y4">
            <v>0.10550910910769296</v>
          </cell>
        </row>
        <row r="5">
          <cell r="U5">
            <v>0.15609303458826992</v>
          </cell>
          <cell r="V5">
            <v>0.15144725058900851</v>
          </cell>
          <cell r="W5">
            <v>0.14933525740842166</v>
          </cell>
          <cell r="X5">
            <v>0.14816379453482184</v>
          </cell>
          <cell r="Y5">
            <v>0.14785089186842251</v>
          </cell>
        </row>
        <row r="17">
          <cell r="J17">
            <v>1.8789743879487109E-2</v>
          </cell>
          <cell r="K17">
            <v>1.8620261056337538E-2</v>
          </cell>
          <cell r="L17">
            <v>2.3926119999788088E-2</v>
          </cell>
          <cell r="M17">
            <v>2.0429818472751E-2</v>
          </cell>
          <cell r="U17" t="str">
            <v>1994</v>
          </cell>
          <cell r="V17" t="str">
            <v>1995</v>
          </cell>
          <cell r="W17" t="str">
            <v>1996</v>
          </cell>
          <cell r="X17" t="str">
            <v>1997</v>
          </cell>
          <cell r="Y17" t="str">
            <v>1998</v>
          </cell>
        </row>
        <row r="18">
          <cell r="U18">
            <v>1.2014176222623003E-2</v>
          </cell>
          <cell r="V18">
            <v>1.9107102304250834E-2</v>
          </cell>
          <cell r="W18">
            <v>1.7214779713567364E-2</v>
          </cell>
          <cell r="X18">
            <v>2.5326543126186308E-2</v>
          </cell>
          <cell r="Y18">
            <v>2.0109255038754492E-2</v>
          </cell>
        </row>
        <row r="19">
          <cell r="U19">
            <v>1.6119183878886643E-2</v>
          </cell>
          <cell r="V19">
            <v>9.5615825977288862E-3</v>
          </cell>
          <cell r="W19">
            <v>1.5438976443142313E-2</v>
          </cell>
          <cell r="X19">
            <v>2.4943014920076188E-2</v>
          </cell>
          <cell r="Y19">
            <v>1.8458880597988288E-2</v>
          </cell>
        </row>
        <row r="20">
          <cell r="U20">
            <v>2.1157421259939076E-2</v>
          </cell>
          <cell r="V20">
            <v>2.1151894521015732E-2</v>
          </cell>
          <cell r="W20">
            <v>1.62353459549914E-2</v>
          </cell>
          <cell r="X20">
            <v>1.6696825135713109E-2</v>
          </cell>
          <cell r="Y20">
            <v>1.8132310398858535E-2</v>
          </cell>
        </row>
        <row r="27">
          <cell r="J27" t="str">
            <v>1995</v>
          </cell>
          <cell r="K27" t="str">
            <v>1996</v>
          </cell>
          <cell r="L27" t="str">
            <v>1997</v>
          </cell>
          <cell r="M27" t="str">
            <v>1998</v>
          </cell>
        </row>
        <row r="28">
          <cell r="J28">
            <v>4.551884490790966E-2</v>
          </cell>
          <cell r="K28">
            <v>4.1652593560621717E-2</v>
          </cell>
          <cell r="L28">
            <v>6.2134837937261343E-2</v>
          </cell>
          <cell r="M28">
            <v>4.7747579390783487E-2</v>
          </cell>
        </row>
        <row r="29">
          <cell r="J29">
            <v>4.91469256088055E-2</v>
          </cell>
          <cell r="K29">
            <v>4.8414926174496636E-2</v>
          </cell>
          <cell r="L29">
            <v>6.3620212892798747E-2</v>
          </cell>
          <cell r="M29">
            <v>5.1924994957806871E-2</v>
          </cell>
        </row>
        <row r="33">
          <cell r="U33" t="str">
            <v>1994</v>
          </cell>
          <cell r="V33" t="str">
            <v>1995</v>
          </cell>
          <cell r="W33" t="str">
            <v>1996</v>
          </cell>
          <cell r="X33" t="str">
            <v>1997</v>
          </cell>
          <cell r="Y33" t="str">
            <v>1998</v>
          </cell>
        </row>
        <row r="34">
          <cell r="U34">
            <v>2.8128031037827354E-2</v>
          </cell>
          <cell r="V34">
            <v>4.551884490790966E-2</v>
          </cell>
          <cell r="W34">
            <v>4.1652593560621717E-2</v>
          </cell>
          <cell r="X34">
            <v>6.2134837937261343E-2</v>
          </cell>
          <cell r="Y34">
            <v>4.7747579390783487E-2</v>
          </cell>
        </row>
        <row r="35">
          <cell r="U35">
            <v>5.7056510133577688E-2</v>
          </cell>
          <cell r="V35">
            <v>3.4300604388455488E-2</v>
          </cell>
          <cell r="W35">
            <v>5.5359594148865016E-2</v>
          </cell>
          <cell r="X35">
            <v>9.1335002373886004E-2</v>
          </cell>
          <cell r="Y35">
            <v>6.3163959519073443E-2</v>
          </cell>
        </row>
        <row r="36">
          <cell r="U36">
            <v>4.8116605209685345E-2</v>
          </cell>
          <cell r="V36">
            <v>4.8777111085883271E-2</v>
          </cell>
          <cell r="W36">
            <v>3.8199118252828179E-2</v>
          </cell>
          <cell r="X36">
            <v>4.0739409363470161E-2</v>
          </cell>
          <cell r="Y36">
            <v>4.3212665151916393E-2</v>
          </cell>
        </row>
        <row r="39">
          <cell r="J39" t="str">
            <v>1995</v>
          </cell>
          <cell r="K39" t="str">
            <v>1996</v>
          </cell>
          <cell r="L39" t="str">
            <v>1997</v>
          </cell>
          <cell r="M39" t="str">
            <v>1998</v>
          </cell>
        </row>
        <row r="40">
          <cell r="J40">
            <v>0.38778506644860805</v>
          </cell>
          <cell r="K40">
            <v>0.38451504914719031</v>
          </cell>
          <cell r="L40">
            <v>0.38903752139862358</v>
          </cell>
          <cell r="M40">
            <v>0.3725354077599351</v>
          </cell>
        </row>
        <row r="41">
          <cell r="J41">
            <v>0.37682109132159436</v>
          </cell>
          <cell r="K41">
            <v>0.36741726036617717</v>
          </cell>
          <cell r="L41">
            <v>0.37495405459054171</v>
          </cell>
          <cell r="M41">
            <v>0.36041418157444749</v>
          </cell>
        </row>
        <row r="51">
          <cell r="J51" t="str">
            <v>1995</v>
          </cell>
          <cell r="K51" t="str">
            <v>1996</v>
          </cell>
          <cell r="L51" t="str">
            <v>1997</v>
          </cell>
          <cell r="M51" t="str">
            <v>1998</v>
          </cell>
          <cell r="U51" t="str">
            <v>1994</v>
          </cell>
          <cell r="V51" t="str">
            <v>1995</v>
          </cell>
          <cell r="W51" t="str">
            <v>1996</v>
          </cell>
          <cell r="X51" t="str">
            <v>1997</v>
          </cell>
          <cell r="Y51" t="str">
            <v>1998</v>
          </cell>
        </row>
        <row r="52">
          <cell r="J52">
            <v>7.409448936694262E-3</v>
          </cell>
          <cell r="K52">
            <v>6.6193418676204104E-3</v>
          </cell>
          <cell r="L52">
            <v>9.852975563406868E-3</v>
          </cell>
          <cell r="M52">
            <v>7.4914095256109342E-3</v>
          </cell>
          <cell r="U52">
            <v>0.39645335871130727</v>
          </cell>
          <cell r="V52">
            <v>0.38778506644860805</v>
          </cell>
          <cell r="W52">
            <v>0.38451504914719031</v>
          </cell>
          <cell r="X52">
            <v>0.38903752139862358</v>
          </cell>
          <cell r="Y52">
            <v>0.3725354077599351</v>
          </cell>
        </row>
        <row r="53">
          <cell r="J53">
            <v>7.080371794321581E-3</v>
          </cell>
          <cell r="K53">
            <v>6.841405304622559E-3</v>
          </cell>
          <cell r="L53">
            <v>8.9711957045403943E-3</v>
          </cell>
          <cell r="M53">
            <v>7.36319630457108E-3</v>
          </cell>
          <cell r="U53">
            <v>0.37867996478700516</v>
          </cell>
          <cell r="V53">
            <v>0.3702603922095547</v>
          </cell>
          <cell r="W53">
            <v>0.36113803511663611</v>
          </cell>
          <cell r="X53">
            <v>0.37464947399119752</v>
          </cell>
          <cell r="Y53">
            <v>0.35868201019218915</v>
          </cell>
        </row>
        <row r="54">
          <cell r="U54">
            <v>0.36279165945948638</v>
          </cell>
          <cell r="V54">
            <v>0.3544989305438796</v>
          </cell>
          <cell r="W54">
            <v>0.35382744043859693</v>
          </cell>
          <cell r="X54">
            <v>0.36293611775779161</v>
          </cell>
          <cell r="Y54">
            <v>0.3527318864017992</v>
          </cell>
        </row>
        <row r="64">
          <cell r="J64">
            <v>1994</v>
          </cell>
          <cell r="K64">
            <v>1995</v>
          </cell>
          <cell r="L64">
            <v>1996</v>
          </cell>
          <cell r="M64">
            <v>1997</v>
          </cell>
          <cell r="N64">
            <v>1998</v>
          </cell>
        </row>
        <row r="65">
          <cell r="J65">
            <v>0.11321823962062721</v>
          </cell>
          <cell r="K65">
            <v>0.11776021393795963</v>
          </cell>
          <cell r="L65">
            <v>0.10701174309752869</v>
          </cell>
          <cell r="M65">
            <v>0.1157635489968955</v>
          </cell>
          <cell r="N65">
            <v>0.11054809849921118</v>
          </cell>
        </row>
        <row r="66">
          <cell r="J66">
            <v>0.11098069006726601</v>
          </cell>
          <cell r="K66">
            <v>0.11339616540550614</v>
          </cell>
          <cell r="L66">
            <v>0.11164316800716276</v>
          </cell>
          <cell r="M66">
            <v>0.12138869489595605</v>
          </cell>
          <cell r="N66">
            <v>0.11906433921700445</v>
          </cell>
        </row>
        <row r="69">
          <cell r="U69" t="str">
            <v>1994</v>
          </cell>
          <cell r="V69" t="str">
            <v>1995</v>
          </cell>
          <cell r="W69" t="str">
            <v>1996</v>
          </cell>
          <cell r="X69" t="str">
            <v>1997</v>
          </cell>
          <cell r="Y69" t="str">
            <v>1998</v>
          </cell>
        </row>
        <row r="70">
          <cell r="U70">
            <v>4.7630605156084157E-3</v>
          </cell>
          <cell r="V70">
            <v>7.409448936694262E-3</v>
          </cell>
          <cell r="W70">
            <v>6.6193418676204104E-3</v>
          </cell>
          <cell r="X70">
            <v>9.852975563406868E-3</v>
          </cell>
          <cell r="Y70">
            <v>7.4914095256109342E-3</v>
          </cell>
        </row>
        <row r="71">
          <cell r="U71">
            <v>6.1040119836520551E-3</v>
          </cell>
          <cell r="V71">
            <v>3.54027532277915E-3</v>
          </cell>
          <cell r="W71">
            <v>5.575601616888446E-3</v>
          </cell>
          <cell r="X71">
            <v>9.3448874195611355E-3</v>
          </cell>
          <cell r="Y71">
            <v>6.6208683987840373E-3</v>
          </cell>
        </row>
        <row r="72">
          <cell r="U72">
            <v>7.6757359687767155E-3</v>
          </cell>
          <cell r="V72">
            <v>7.4983239866770243E-3</v>
          </cell>
          <cell r="W72">
            <v>5.7445109038897352E-3</v>
          </cell>
          <cell r="X72">
            <v>6.059880893636428E-3</v>
          </cell>
          <cell r="Y72">
            <v>6.3958440518123317E-3</v>
          </cell>
        </row>
        <row r="86">
          <cell r="U86">
            <v>1994</v>
          </cell>
          <cell r="V86">
            <v>1995</v>
          </cell>
          <cell r="W86">
            <v>1996</v>
          </cell>
          <cell r="X86">
            <v>1997</v>
          </cell>
          <cell r="Y86">
            <v>1998</v>
          </cell>
        </row>
        <row r="87">
          <cell r="U87">
            <v>0.10991726778882693</v>
          </cell>
          <cell r="V87">
            <v>0.10688147547704234</v>
          </cell>
          <cell r="W87">
            <v>0.11387694193417369</v>
          </cell>
          <cell r="X87">
            <v>0.11321664686049114</v>
          </cell>
          <cell r="Y87">
            <v>0.11745359743571661</v>
          </cell>
        </row>
      </sheetData>
      <sheetData sheetId="6" refreshError="1">
        <row r="4">
          <cell r="I4">
            <v>0.66488796400742856</v>
          </cell>
          <cell r="J4">
            <v>0.66565021890990228</v>
          </cell>
          <cell r="K4">
            <v>0.67493507490940396</v>
          </cell>
          <cell r="L4">
            <v>0.66936418775583373</v>
          </cell>
          <cell r="M4">
            <v>0.66983479996708406</v>
          </cell>
        </row>
        <row r="5">
          <cell r="I5">
            <v>0.73984482575503507</v>
          </cell>
          <cell r="J5">
            <v>0.73971326619902789</v>
          </cell>
          <cell r="K5">
            <v>0.75460938404939826</v>
          </cell>
          <cell r="L5">
            <v>0.74587981772337186</v>
          </cell>
        </row>
        <row r="6">
          <cell r="I6">
            <v>0.70577636185933124</v>
          </cell>
          <cell r="J6">
            <v>0.71740809854736021</v>
          </cell>
          <cell r="K6">
            <v>0.72631793299550074</v>
          </cell>
          <cell r="L6">
            <v>0.71634091797526145</v>
          </cell>
        </row>
        <row r="51">
          <cell r="I51" t="str">
            <v>Ｈ６</v>
          </cell>
          <cell r="J51" t="str">
            <v>Ｈ７</v>
          </cell>
          <cell r="K51" t="str">
            <v>Ｈ８</v>
          </cell>
          <cell r="L51" t="str">
            <v>Ｈ９</v>
          </cell>
          <cell r="M51" t="str">
            <v>Ｈ１０</v>
          </cell>
          <cell r="N51" t="str">
            <v>Ｈ１１</v>
          </cell>
        </row>
        <row r="52">
          <cell r="I52">
            <v>0.10891183947435164</v>
          </cell>
          <cell r="J52">
            <v>0.113901091063542</v>
          </cell>
          <cell r="K52">
            <v>0.10873087521194093</v>
          </cell>
          <cell r="L52">
            <v>0.11256062259657769</v>
          </cell>
          <cell r="M52">
            <v>0.103317816121362</v>
          </cell>
        </row>
        <row r="53">
          <cell r="I53">
            <v>0.10039441590643124</v>
          </cell>
          <cell r="J53">
            <v>9.2286637116960099E-2</v>
          </cell>
          <cell r="K53">
            <v>0.1018512611844973</v>
          </cell>
          <cell r="L53">
            <v>0.10986039990739736</v>
          </cell>
        </row>
        <row r="54">
          <cell r="I54">
            <v>0.11032174511928639</v>
          </cell>
          <cell r="J54">
            <v>0.10517059853905784</v>
          </cell>
          <cell r="K54">
            <v>0.11009211948244099</v>
          </cell>
          <cell r="L54">
            <v>0.11331223665752366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１枚目"/>
      <sheetName val="２枚目"/>
      <sheetName val="過去方法"/>
      <sheetName val="ｸﾞﾗﾌﾃﾞｰﾀ"/>
    </sheetNames>
    <sheetDataSet>
      <sheetData sheetId="0" refreshError="1"/>
      <sheetData sheetId="1" refreshError="1"/>
      <sheetData sheetId="2" refreshError="1"/>
      <sheetData sheetId="3" refreshError="1">
        <row r="4">
          <cell r="F4">
            <v>20765</v>
          </cell>
        </row>
        <row r="5">
          <cell r="F5">
            <v>22069</v>
          </cell>
        </row>
        <row r="6">
          <cell r="F6">
            <v>21533</v>
          </cell>
        </row>
        <row r="7">
          <cell r="F7">
            <v>22018</v>
          </cell>
        </row>
        <row r="8">
          <cell r="F8">
            <v>22060</v>
          </cell>
        </row>
        <row r="9">
          <cell r="F9">
            <v>21785</v>
          </cell>
        </row>
        <row r="10">
          <cell r="F10">
            <v>22694</v>
          </cell>
        </row>
        <row r="11">
          <cell r="F11">
            <v>22625</v>
          </cell>
        </row>
        <row r="12">
          <cell r="F12">
            <v>22678</v>
          </cell>
        </row>
        <row r="13">
          <cell r="F13">
            <v>23742</v>
          </cell>
        </row>
        <row r="14">
          <cell r="F14">
            <v>22886</v>
          </cell>
        </row>
        <row r="15">
          <cell r="F15">
            <v>23969</v>
          </cell>
        </row>
        <row r="16">
          <cell r="F16">
            <v>25208</v>
          </cell>
        </row>
        <row r="17">
          <cell r="F17">
            <v>26822</v>
          </cell>
        </row>
        <row r="18">
          <cell r="F18">
            <v>27084</v>
          </cell>
        </row>
        <row r="19">
          <cell r="F19">
            <v>26627</v>
          </cell>
        </row>
        <row r="20">
          <cell r="F20">
            <v>26649</v>
          </cell>
        </row>
        <row r="21">
          <cell r="F21">
            <v>27093</v>
          </cell>
        </row>
        <row r="22">
          <cell r="F22">
            <v>27471</v>
          </cell>
        </row>
        <row r="23">
          <cell r="F23">
            <v>27434</v>
          </cell>
        </row>
        <row r="24">
          <cell r="F24">
            <v>28327</v>
          </cell>
        </row>
        <row r="25">
          <cell r="F25">
            <v>27468</v>
          </cell>
        </row>
        <row r="26">
          <cell r="F26">
            <v>28291</v>
          </cell>
        </row>
        <row r="27">
          <cell r="F27">
            <v>29334</v>
          </cell>
        </row>
        <row r="28">
          <cell r="F28">
            <v>28064</v>
          </cell>
        </row>
        <row r="29">
          <cell r="F29">
            <v>29018</v>
          </cell>
        </row>
        <row r="30">
          <cell r="F30">
            <v>28277</v>
          </cell>
        </row>
        <row r="31">
          <cell r="F31">
            <v>29228</v>
          </cell>
        </row>
        <row r="32">
          <cell r="F32">
            <v>29430</v>
          </cell>
        </row>
        <row r="33">
          <cell r="F33">
            <v>29837</v>
          </cell>
        </row>
        <row r="34">
          <cell r="F34">
            <v>29671</v>
          </cell>
        </row>
        <row r="35">
          <cell r="F35">
            <v>28995</v>
          </cell>
        </row>
        <row r="36">
          <cell r="F36">
            <v>29930</v>
          </cell>
        </row>
        <row r="37">
          <cell r="F37">
            <v>30492</v>
          </cell>
        </row>
        <row r="38">
          <cell r="F38">
            <v>31079</v>
          </cell>
        </row>
        <row r="39">
          <cell r="F39">
            <v>30342</v>
          </cell>
        </row>
        <row r="40">
          <cell r="F40">
            <v>30354</v>
          </cell>
        </row>
        <row r="41">
          <cell r="F41">
            <v>30169</v>
          </cell>
        </row>
        <row r="42">
          <cell r="F42">
            <v>29900</v>
          </cell>
        </row>
        <row r="43">
          <cell r="F43">
            <v>31142</v>
          </cell>
        </row>
        <row r="44">
          <cell r="F44">
            <v>30347</v>
          </cell>
        </row>
        <row r="45">
          <cell r="F45">
            <v>30911</v>
          </cell>
        </row>
        <row r="46">
          <cell r="F46">
            <v>30656</v>
          </cell>
        </row>
        <row r="47">
          <cell r="F47">
            <v>32087</v>
          </cell>
        </row>
        <row r="48">
          <cell r="F48">
            <v>32047</v>
          </cell>
        </row>
        <row r="49">
          <cell r="F49">
            <v>32789</v>
          </cell>
        </row>
        <row r="50">
          <cell r="F50">
            <v>31979</v>
          </cell>
        </row>
        <row r="51">
          <cell r="F51">
            <v>32894</v>
          </cell>
        </row>
        <row r="52">
          <cell r="F52">
            <v>33368</v>
          </cell>
        </row>
        <row r="53">
          <cell r="F53">
            <v>33524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ｸﾞﾗﾌ（Pana）"/>
      <sheetName val="表"/>
      <sheetName val="銘柄マスタ"/>
      <sheetName val="2020月別"/>
      <sheetName val="密度"/>
      <sheetName val="2021月別"/>
      <sheetName val="任意定義"/>
    </sheetNames>
    <sheetDataSet>
      <sheetData sheetId="0" refreshError="1"/>
      <sheetData sheetId="1">
        <row r="6">
          <cell r="D6">
            <v>14841</v>
          </cell>
          <cell r="F6">
            <v>20810</v>
          </cell>
        </row>
        <row r="7">
          <cell r="D7">
            <v>15501</v>
          </cell>
          <cell r="F7">
            <v>20900</v>
          </cell>
        </row>
        <row r="8">
          <cell r="D8">
            <v>15771</v>
          </cell>
          <cell r="F8">
            <v>23000</v>
          </cell>
        </row>
        <row r="9">
          <cell r="D9">
            <v>16085</v>
          </cell>
          <cell r="F9">
            <v>24238</v>
          </cell>
        </row>
        <row r="10">
          <cell r="D10">
            <v>16763</v>
          </cell>
          <cell r="F10">
            <v>23388</v>
          </cell>
        </row>
        <row r="11">
          <cell r="D11">
            <v>15200</v>
          </cell>
          <cell r="F11">
            <v>18500</v>
          </cell>
        </row>
        <row r="12">
          <cell r="D12">
            <v>14510</v>
          </cell>
          <cell r="F12">
            <v>17800</v>
          </cell>
        </row>
        <row r="13">
          <cell r="D13">
            <v>16095</v>
          </cell>
          <cell r="F13">
            <v>22125</v>
          </cell>
        </row>
        <row r="14">
          <cell r="D14">
            <v>15834</v>
          </cell>
          <cell r="F14">
            <v>19500</v>
          </cell>
        </row>
        <row r="15">
          <cell r="D15">
            <v>10764</v>
          </cell>
          <cell r="F15">
            <v>16800</v>
          </cell>
        </row>
        <row r="16">
          <cell r="D16">
            <v>11407</v>
          </cell>
          <cell r="F16">
            <v>16000</v>
          </cell>
        </row>
        <row r="17">
          <cell r="D17">
            <v>10667</v>
          </cell>
          <cell r="F17">
            <v>14000</v>
          </cell>
        </row>
        <row r="18">
          <cell r="D18">
            <v>11229</v>
          </cell>
          <cell r="F18">
            <v>11250</v>
          </cell>
        </row>
        <row r="19">
          <cell r="D19">
            <v>11524</v>
          </cell>
          <cell r="F19">
            <v>8425</v>
          </cell>
        </row>
        <row r="20">
          <cell r="D20">
            <v>10492</v>
          </cell>
          <cell r="F20">
            <v>13800</v>
          </cell>
        </row>
        <row r="21">
          <cell r="D21">
            <v>10288</v>
          </cell>
          <cell r="F21">
            <v>13925</v>
          </cell>
        </row>
        <row r="22">
          <cell r="D22">
            <v>9647</v>
          </cell>
          <cell r="F22">
            <v>10170</v>
          </cell>
        </row>
        <row r="23">
          <cell r="D23">
            <v>8419</v>
          </cell>
          <cell r="F23">
            <v>10735</v>
          </cell>
        </row>
        <row r="24">
          <cell r="D24">
            <v>7020</v>
          </cell>
          <cell r="F24">
            <v>7750</v>
          </cell>
        </row>
        <row r="25">
          <cell r="D25">
            <v>7286</v>
          </cell>
          <cell r="F25">
            <v>9250</v>
          </cell>
        </row>
        <row r="26">
          <cell r="D26">
            <v>6560</v>
          </cell>
          <cell r="F26">
            <v>9400</v>
          </cell>
        </row>
        <row r="27">
          <cell r="D27">
            <v>8366</v>
          </cell>
          <cell r="F27">
            <v>10833</v>
          </cell>
        </row>
        <row r="28">
          <cell r="D28">
            <v>11796</v>
          </cell>
          <cell r="F28">
            <v>13750</v>
          </cell>
        </row>
        <row r="29">
          <cell r="D29">
            <v>11363</v>
          </cell>
          <cell r="F29">
            <v>14125</v>
          </cell>
        </row>
        <row r="30">
          <cell r="D30">
            <v>10694</v>
          </cell>
          <cell r="F30">
            <v>13825</v>
          </cell>
        </row>
        <row r="31">
          <cell r="D31">
            <v>11405</v>
          </cell>
          <cell r="F31">
            <v>15750</v>
          </cell>
        </row>
        <row r="32">
          <cell r="D32">
            <v>10853</v>
          </cell>
          <cell r="F32">
            <v>13750</v>
          </cell>
        </row>
        <row r="33">
          <cell r="D33">
            <v>10766</v>
          </cell>
          <cell r="F33">
            <v>14800</v>
          </cell>
        </row>
        <row r="34">
          <cell r="D34">
            <v>9384</v>
          </cell>
          <cell r="F34">
            <v>13375</v>
          </cell>
        </row>
        <row r="35">
          <cell r="D35">
            <v>8630</v>
          </cell>
          <cell r="F35">
            <v>12411</v>
          </cell>
        </row>
        <row r="36">
          <cell r="D36">
            <v>9500</v>
          </cell>
          <cell r="F36">
            <v>13500</v>
          </cell>
        </row>
        <row r="37">
          <cell r="D37">
            <v>8982</v>
          </cell>
          <cell r="F37">
            <v>13657</v>
          </cell>
        </row>
        <row r="38">
          <cell r="D38">
            <v>9249</v>
          </cell>
          <cell r="F38">
            <v>14595</v>
          </cell>
        </row>
        <row r="39">
          <cell r="D39">
            <v>9770</v>
          </cell>
          <cell r="F39">
            <v>14684</v>
          </cell>
        </row>
        <row r="40">
          <cell r="D40">
            <v>8906</v>
          </cell>
          <cell r="F40">
            <v>14096</v>
          </cell>
        </row>
        <row r="41">
          <cell r="D41">
            <v>7931</v>
          </cell>
          <cell r="F41">
            <v>11782</v>
          </cell>
        </row>
        <row r="42">
          <cell r="D42">
            <v>7497</v>
          </cell>
          <cell r="F42">
            <v>11933</v>
          </cell>
        </row>
        <row r="43">
          <cell r="D43">
            <v>6425</v>
          </cell>
          <cell r="F43">
            <v>10756</v>
          </cell>
        </row>
        <row r="44">
          <cell r="D44">
            <v>8354</v>
          </cell>
          <cell r="F44">
            <v>10156</v>
          </cell>
        </row>
        <row r="45">
          <cell r="D45">
            <v>6845</v>
          </cell>
          <cell r="F45">
            <v>9500</v>
          </cell>
        </row>
        <row r="46">
          <cell r="D46">
            <v>6885</v>
          </cell>
          <cell r="F46">
            <v>9338</v>
          </cell>
        </row>
        <row r="47">
          <cell r="D47">
            <v>6172</v>
          </cell>
          <cell r="F47">
            <v>8006</v>
          </cell>
        </row>
        <row r="48">
          <cell r="D48">
            <v>6000</v>
          </cell>
          <cell r="F48">
            <v>5781</v>
          </cell>
        </row>
        <row r="49">
          <cell r="D49">
            <v>5256</v>
          </cell>
          <cell r="F49">
            <v>7500</v>
          </cell>
        </row>
        <row r="50">
          <cell r="D50">
            <v>5924</v>
          </cell>
          <cell r="F50">
            <v>9905</v>
          </cell>
        </row>
        <row r="51">
          <cell r="D51">
            <v>7960</v>
          </cell>
          <cell r="F51">
            <v>12667</v>
          </cell>
        </row>
        <row r="52">
          <cell r="D52">
            <v>8150</v>
          </cell>
          <cell r="F52">
            <v>8980</v>
          </cell>
        </row>
        <row r="53">
          <cell r="D53">
            <v>6080</v>
          </cell>
          <cell r="F53">
            <v>10263</v>
          </cell>
        </row>
        <row r="54">
          <cell r="D54">
            <v>4319</v>
          </cell>
          <cell r="F54">
            <v>8320</v>
          </cell>
        </row>
        <row r="55">
          <cell r="D55">
            <v>4299</v>
          </cell>
          <cell r="F55">
            <v>7074</v>
          </cell>
        </row>
        <row r="56">
          <cell r="D56">
            <v>6021</v>
          </cell>
          <cell r="F56">
            <v>8000</v>
          </cell>
        </row>
        <row r="57">
          <cell r="D57">
            <v>6669</v>
          </cell>
          <cell r="F57">
            <v>8410</v>
          </cell>
        </row>
        <row r="58">
          <cell r="D58">
            <v>7478</v>
          </cell>
          <cell r="F58">
            <v>9055</v>
          </cell>
        </row>
        <row r="59">
          <cell r="D59">
            <v>7381</v>
          </cell>
          <cell r="F59">
            <v>7290</v>
          </cell>
        </row>
        <row r="60">
          <cell r="D60">
            <v>6510</v>
          </cell>
          <cell r="F60">
            <v>7981</v>
          </cell>
        </row>
        <row r="61">
          <cell r="D61">
            <v>6378</v>
          </cell>
          <cell r="F61">
            <v>9099</v>
          </cell>
        </row>
        <row r="62">
          <cell r="D62">
            <v>6302</v>
          </cell>
          <cell r="F62">
            <v>12060</v>
          </cell>
        </row>
        <row r="63">
          <cell r="D63">
            <v>9215</v>
          </cell>
          <cell r="F63">
            <v>14618</v>
          </cell>
        </row>
        <row r="64">
          <cell r="D64">
            <v>9612</v>
          </cell>
          <cell r="F64">
            <v>14575</v>
          </cell>
        </row>
        <row r="65">
          <cell r="D65">
            <v>9342</v>
          </cell>
          <cell r="F65">
            <v>14318</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google.com/maps/answer/18539?hl=ja&amp;co=GENIE.Platform%3DDesktop" TargetMode="External"/><Relationship Id="rId1" Type="http://schemas.openxmlformats.org/officeDocument/2006/relationships/hyperlink" Target="https://maps.gsi.go.jp/help/intro/kinolist/2-jusho.html"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1:BV33"/>
  <sheetViews>
    <sheetView showGridLines="0" tabSelected="1" view="pageBreakPreview" zoomScale="85" zoomScaleNormal="80" zoomScaleSheetLayoutView="85" workbookViewId="0">
      <selection activeCell="L16" sqref="L16:Q16"/>
    </sheetView>
  </sheetViews>
  <sheetFormatPr defaultRowHeight="13"/>
  <cols>
    <col min="1" max="10" width="2.36328125" customWidth="1"/>
    <col min="11" max="11" width="6.6328125" customWidth="1"/>
    <col min="12" max="44" width="2.36328125" customWidth="1"/>
    <col min="45" max="45" width="6.54296875" customWidth="1"/>
    <col min="46" max="69" width="2.36328125" customWidth="1"/>
    <col min="70" max="70" width="4" customWidth="1"/>
    <col min="71" max="71" width="2.36328125" hidden="1" customWidth="1"/>
    <col min="72" max="72" width="6.36328125" hidden="1" customWidth="1"/>
    <col min="73" max="73" width="6.6328125" hidden="1" customWidth="1"/>
    <col min="74" max="74" width="5.453125" hidden="1" customWidth="1"/>
    <col min="75" max="77" width="2.36328125" customWidth="1"/>
  </cols>
  <sheetData>
    <row r="1" spans="1:74" ht="30.75" customHeight="1">
      <c r="A1" s="30"/>
      <c r="B1" s="43" t="s">
        <v>340</v>
      </c>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14"/>
      <c r="AJ1" s="15"/>
      <c r="AK1" s="15"/>
      <c r="AL1" s="100" t="s">
        <v>28</v>
      </c>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5"/>
      <c r="BO1" s="15"/>
      <c r="BP1" s="16"/>
    </row>
    <row r="2" spans="1:74" ht="15">
      <c r="A2" s="30"/>
      <c r="B2" s="102" t="s">
        <v>339</v>
      </c>
      <c r="C2" s="102"/>
      <c r="D2" s="102"/>
      <c r="E2" s="102"/>
      <c r="F2" s="102"/>
      <c r="G2" s="102"/>
      <c r="H2" s="102"/>
      <c r="I2" s="102"/>
      <c r="J2" s="102"/>
      <c r="K2" s="102"/>
      <c r="L2" s="103"/>
      <c r="M2" s="103"/>
      <c r="N2" s="103"/>
      <c r="O2" s="103"/>
      <c r="P2" s="103"/>
      <c r="Q2" s="103"/>
      <c r="R2" s="103"/>
      <c r="S2" s="103"/>
      <c r="T2" s="103"/>
      <c r="U2" s="103"/>
      <c r="V2" s="103"/>
      <c r="W2" s="103"/>
      <c r="X2" s="103"/>
      <c r="Y2" s="103"/>
      <c r="Z2" s="103"/>
      <c r="AA2" s="103"/>
      <c r="AB2" s="103"/>
      <c r="AC2" s="103"/>
      <c r="AD2" s="103"/>
      <c r="AE2" s="103"/>
      <c r="AF2" s="103"/>
      <c r="AG2" s="103"/>
      <c r="AH2" s="30"/>
      <c r="AI2" s="17"/>
      <c r="AJ2" s="104" t="s">
        <v>53</v>
      </c>
      <c r="AK2" s="104"/>
      <c r="AL2" s="104"/>
      <c r="AM2" s="104"/>
      <c r="AN2" s="104"/>
      <c r="AO2" s="104"/>
      <c r="AP2" s="104"/>
      <c r="AQ2" s="104"/>
      <c r="AR2" s="104"/>
      <c r="AS2" s="104"/>
      <c r="AT2" s="105" t="s">
        <v>29</v>
      </c>
      <c r="AU2" s="105"/>
      <c r="AV2" s="105"/>
      <c r="AW2" s="105"/>
      <c r="AX2" s="105"/>
      <c r="AY2" s="105"/>
      <c r="AZ2" s="105"/>
      <c r="BA2" s="105"/>
      <c r="BB2" s="105"/>
      <c r="BC2" s="105"/>
      <c r="BD2" s="105"/>
      <c r="BE2" s="105"/>
      <c r="BF2" s="105"/>
      <c r="BG2" s="105"/>
      <c r="BH2" s="105"/>
      <c r="BI2" s="105"/>
      <c r="BJ2" s="105"/>
      <c r="BK2" s="105"/>
      <c r="BL2" s="105"/>
      <c r="BM2" s="105"/>
      <c r="BN2" s="105"/>
      <c r="BO2" s="105"/>
      <c r="BP2" s="18"/>
      <c r="BT2">
        <f>IF(AND(BT5,BT6,BT7,BT8,BT9,BT14,BU14,BV14,BT16,BT18,BT19,BT24,BT28),1,0)</f>
        <v>0</v>
      </c>
    </row>
    <row r="3" spans="1:74" ht="15">
      <c r="A3" s="30"/>
      <c r="B3" s="31"/>
      <c r="C3" s="31"/>
      <c r="D3" s="31"/>
      <c r="E3" s="31"/>
      <c r="F3" s="31"/>
      <c r="G3" s="31"/>
      <c r="H3" s="31"/>
      <c r="I3" s="31"/>
      <c r="J3" s="31"/>
      <c r="K3" s="31"/>
      <c r="L3" s="32"/>
      <c r="M3" s="32"/>
      <c r="N3" s="32"/>
      <c r="O3" s="32"/>
      <c r="P3" s="32"/>
      <c r="Q3" s="32"/>
      <c r="R3" s="32"/>
      <c r="S3" s="32"/>
      <c r="T3" s="32"/>
      <c r="U3" s="32"/>
      <c r="V3" s="32"/>
      <c r="W3" s="32"/>
      <c r="X3" s="32"/>
      <c r="Y3" s="32"/>
      <c r="Z3" s="32"/>
      <c r="AA3" s="32"/>
      <c r="AB3" s="32"/>
      <c r="AC3" s="32"/>
      <c r="AD3" s="32"/>
      <c r="AE3" s="32"/>
      <c r="AF3" s="32"/>
      <c r="AG3" s="32"/>
      <c r="AH3" s="30"/>
      <c r="AI3" s="17"/>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8"/>
    </row>
    <row r="4" spans="1:74" ht="15">
      <c r="A4" s="30"/>
      <c r="B4" s="125" t="s">
        <v>34</v>
      </c>
      <c r="C4" s="125"/>
      <c r="D4" s="125"/>
      <c r="E4" s="125"/>
      <c r="F4" s="125"/>
      <c r="G4" s="125"/>
      <c r="H4" s="125"/>
      <c r="I4" s="125"/>
      <c r="J4" s="125"/>
      <c r="K4" s="125"/>
      <c r="L4" s="32"/>
      <c r="M4" s="32"/>
      <c r="N4" s="32"/>
      <c r="O4" s="32"/>
      <c r="P4" s="32"/>
      <c r="Q4" s="32"/>
      <c r="R4" s="32"/>
      <c r="S4" s="32"/>
      <c r="T4" s="32"/>
      <c r="U4" s="32"/>
      <c r="V4" s="32"/>
      <c r="W4" s="32"/>
      <c r="X4" s="32"/>
      <c r="Y4" s="32"/>
      <c r="Z4" s="32"/>
      <c r="AA4" s="32"/>
      <c r="AB4" s="32"/>
      <c r="AC4" s="32"/>
      <c r="AD4" s="32"/>
      <c r="AE4" s="32"/>
      <c r="AF4" s="32"/>
      <c r="AG4" s="32"/>
      <c r="AH4" s="30"/>
      <c r="AI4" s="17"/>
      <c r="AJ4" s="126" t="s">
        <v>34</v>
      </c>
      <c r="AK4" s="126"/>
      <c r="AL4" s="126"/>
      <c r="AM4" s="126"/>
      <c r="AN4" s="126"/>
      <c r="AO4" s="126"/>
      <c r="AP4" s="126"/>
      <c r="AQ4" s="126"/>
      <c r="AR4" s="126"/>
      <c r="AS4" s="126"/>
      <c r="AT4" s="19"/>
      <c r="AU4" s="19"/>
      <c r="AV4" s="19"/>
      <c r="AW4" s="19"/>
      <c r="AX4" s="19"/>
      <c r="AY4" s="19"/>
      <c r="AZ4" s="19"/>
      <c r="BA4" s="19"/>
      <c r="BB4" s="19"/>
      <c r="BC4" s="19"/>
      <c r="BD4" s="19"/>
      <c r="BE4" s="19"/>
      <c r="BF4" s="19"/>
      <c r="BG4" s="19"/>
      <c r="BH4" s="19"/>
      <c r="BI4" s="19"/>
      <c r="BJ4" s="19"/>
      <c r="BK4" s="19"/>
      <c r="BL4" s="19"/>
      <c r="BM4" s="19"/>
      <c r="BN4" s="19"/>
      <c r="BO4" s="19"/>
      <c r="BP4" s="18"/>
    </row>
    <row r="5" spans="1:74" ht="15">
      <c r="A5" s="30"/>
      <c r="B5" s="106" t="s">
        <v>319</v>
      </c>
      <c r="C5" s="106"/>
      <c r="D5" s="106"/>
      <c r="E5" s="106"/>
      <c r="F5" s="106"/>
      <c r="G5" s="106"/>
      <c r="H5" s="106"/>
      <c r="I5" s="106"/>
      <c r="J5" s="106"/>
      <c r="K5" s="106"/>
      <c r="L5" s="107"/>
      <c r="M5" s="107"/>
      <c r="N5" s="107"/>
      <c r="O5" s="107"/>
      <c r="P5" s="107"/>
      <c r="Q5" s="107"/>
      <c r="R5" s="107"/>
      <c r="S5" s="107"/>
      <c r="T5" s="107"/>
      <c r="U5" s="107"/>
      <c r="V5" s="107"/>
      <c r="W5" s="107"/>
      <c r="X5" s="107"/>
      <c r="Y5" s="107"/>
      <c r="Z5" s="107"/>
      <c r="AA5" s="107"/>
      <c r="AB5" s="107"/>
      <c r="AC5" s="107"/>
      <c r="AD5" s="107"/>
      <c r="AE5" s="107"/>
      <c r="AF5" s="107"/>
      <c r="AG5" s="107"/>
      <c r="AH5" s="30"/>
      <c r="AI5" s="17"/>
      <c r="AJ5" s="108" t="s">
        <v>1</v>
      </c>
      <c r="AK5" s="108"/>
      <c r="AL5" s="108"/>
      <c r="AM5" s="108"/>
      <c r="AN5" s="108"/>
      <c r="AO5" s="108"/>
      <c r="AP5" s="108"/>
      <c r="AQ5" s="108"/>
      <c r="AR5" s="108"/>
      <c r="AS5" s="108"/>
      <c r="AT5" s="109" t="s">
        <v>32</v>
      </c>
      <c r="AU5" s="109"/>
      <c r="AV5" s="109"/>
      <c r="AW5" s="109"/>
      <c r="AX5" s="109"/>
      <c r="AY5" s="109"/>
      <c r="AZ5" s="109"/>
      <c r="BA5" s="109"/>
      <c r="BB5" s="109"/>
      <c r="BC5" s="109"/>
      <c r="BD5" s="109"/>
      <c r="BE5" s="109"/>
      <c r="BF5" s="109"/>
      <c r="BG5" s="109"/>
      <c r="BH5" s="109"/>
      <c r="BI5" s="109"/>
      <c r="BJ5" s="109"/>
      <c r="BK5" s="109"/>
      <c r="BL5" s="109"/>
      <c r="BM5" s="109"/>
      <c r="BN5" s="109"/>
      <c r="BO5" s="109"/>
      <c r="BP5" s="18"/>
      <c r="BT5">
        <f>IF(L5="",0,1)</f>
        <v>0</v>
      </c>
    </row>
    <row r="6" spans="1:74" ht="15">
      <c r="A6" s="30"/>
      <c r="B6" s="106" t="s">
        <v>320</v>
      </c>
      <c r="C6" s="106"/>
      <c r="D6" s="106"/>
      <c r="E6" s="106"/>
      <c r="F6" s="106"/>
      <c r="G6" s="106"/>
      <c r="H6" s="106"/>
      <c r="I6" s="106"/>
      <c r="J6" s="106"/>
      <c r="K6" s="106"/>
      <c r="L6" s="107"/>
      <c r="M6" s="107"/>
      <c r="N6" s="107"/>
      <c r="O6" s="107"/>
      <c r="P6" s="107"/>
      <c r="Q6" s="107"/>
      <c r="R6" s="107"/>
      <c r="S6" s="107"/>
      <c r="T6" s="107"/>
      <c r="U6" s="107"/>
      <c r="V6" s="107"/>
      <c r="W6" s="107"/>
      <c r="X6" s="107"/>
      <c r="Y6" s="107"/>
      <c r="Z6" s="107"/>
      <c r="AA6" s="107"/>
      <c r="AB6" s="107"/>
      <c r="AC6" s="107"/>
      <c r="AD6" s="107"/>
      <c r="AE6" s="107"/>
      <c r="AF6" s="107"/>
      <c r="AG6" s="107"/>
      <c r="AH6" s="30"/>
      <c r="AI6" s="17"/>
      <c r="AJ6" s="108" t="s">
        <v>2</v>
      </c>
      <c r="AK6" s="108"/>
      <c r="AL6" s="108"/>
      <c r="AM6" s="108"/>
      <c r="AN6" s="108"/>
      <c r="AO6" s="108"/>
      <c r="AP6" s="108"/>
      <c r="AQ6" s="108"/>
      <c r="AR6" s="108"/>
      <c r="AS6" s="108"/>
      <c r="AT6" s="109" t="s">
        <v>40</v>
      </c>
      <c r="AU6" s="109"/>
      <c r="AV6" s="109"/>
      <c r="AW6" s="109"/>
      <c r="AX6" s="109"/>
      <c r="AY6" s="109"/>
      <c r="AZ6" s="109"/>
      <c r="BA6" s="109"/>
      <c r="BB6" s="109"/>
      <c r="BC6" s="109"/>
      <c r="BD6" s="109"/>
      <c r="BE6" s="109"/>
      <c r="BF6" s="109"/>
      <c r="BG6" s="109"/>
      <c r="BH6" s="109"/>
      <c r="BI6" s="109"/>
      <c r="BJ6" s="109"/>
      <c r="BK6" s="109"/>
      <c r="BL6" s="109"/>
      <c r="BM6" s="109"/>
      <c r="BN6" s="109"/>
      <c r="BO6" s="109"/>
      <c r="BP6" s="18"/>
      <c r="BT6">
        <f>IF(L6="",0,1)</f>
        <v>0</v>
      </c>
    </row>
    <row r="7" spans="1:74" ht="15">
      <c r="A7" s="30"/>
      <c r="B7" s="106" t="s">
        <v>321</v>
      </c>
      <c r="C7" s="106"/>
      <c r="D7" s="106"/>
      <c r="E7" s="106"/>
      <c r="F7" s="106"/>
      <c r="G7" s="106"/>
      <c r="H7" s="106"/>
      <c r="I7" s="106"/>
      <c r="J7" s="106"/>
      <c r="K7" s="106"/>
      <c r="L7" s="243"/>
      <c r="M7" s="244"/>
      <c r="N7" s="244"/>
      <c r="O7" s="244"/>
      <c r="P7" s="244"/>
      <c r="Q7" s="244"/>
      <c r="R7" s="244"/>
      <c r="S7" s="244"/>
      <c r="T7" s="244"/>
      <c r="U7" s="244"/>
      <c r="V7" s="244"/>
      <c r="W7" s="244"/>
      <c r="X7" s="244"/>
      <c r="Y7" s="244"/>
      <c r="Z7" s="244"/>
      <c r="AA7" s="244"/>
      <c r="AB7" s="244"/>
      <c r="AC7" s="244"/>
      <c r="AD7" s="244"/>
      <c r="AE7" s="244"/>
      <c r="AF7" s="244"/>
      <c r="AG7" s="245"/>
      <c r="AH7" s="30"/>
      <c r="AI7" s="17"/>
      <c r="AJ7" s="108" t="s">
        <v>3</v>
      </c>
      <c r="AK7" s="108"/>
      <c r="AL7" s="108"/>
      <c r="AM7" s="108"/>
      <c r="AN7" s="108"/>
      <c r="AO7" s="108"/>
      <c r="AP7" s="108"/>
      <c r="AQ7" s="108"/>
      <c r="AR7" s="108"/>
      <c r="AS7" s="108"/>
      <c r="AT7" s="109" t="s">
        <v>30</v>
      </c>
      <c r="AU7" s="109"/>
      <c r="AV7" s="109"/>
      <c r="AW7" s="109"/>
      <c r="AX7" s="109"/>
      <c r="AY7" s="109"/>
      <c r="AZ7" s="109"/>
      <c r="BA7" s="109"/>
      <c r="BB7" s="109"/>
      <c r="BC7" s="109"/>
      <c r="BD7" s="109"/>
      <c r="BE7" s="109"/>
      <c r="BF7" s="109"/>
      <c r="BG7" s="109"/>
      <c r="BH7" s="109"/>
      <c r="BI7" s="109"/>
      <c r="BJ7" s="109"/>
      <c r="BK7" s="109"/>
      <c r="BL7" s="109"/>
      <c r="BM7" s="109"/>
      <c r="BN7" s="109"/>
      <c r="BO7" s="109"/>
      <c r="BP7" s="18"/>
      <c r="BT7">
        <f>IF(L7="",0,1)</f>
        <v>0</v>
      </c>
    </row>
    <row r="8" spans="1:74" ht="15">
      <c r="A8" s="30"/>
      <c r="B8" s="238" t="s">
        <v>322</v>
      </c>
      <c r="C8" s="239"/>
      <c r="D8" s="239"/>
      <c r="E8" s="239"/>
      <c r="F8" s="239"/>
      <c r="G8" s="239"/>
      <c r="H8" s="239"/>
      <c r="I8" s="239"/>
      <c r="J8" s="239"/>
      <c r="K8" s="240"/>
      <c r="L8" s="241"/>
      <c r="M8" s="242"/>
      <c r="N8" s="242"/>
      <c r="O8" s="242"/>
      <c r="P8" s="242"/>
      <c r="Q8" s="242"/>
      <c r="R8" s="242"/>
      <c r="S8" s="242"/>
      <c r="T8" s="242"/>
      <c r="U8" s="242"/>
      <c r="V8" s="242"/>
      <c r="W8" s="242"/>
      <c r="X8" s="242"/>
      <c r="Y8" s="242"/>
      <c r="Z8" s="242"/>
      <c r="AA8" s="242"/>
      <c r="AB8" s="242"/>
      <c r="AC8" s="242"/>
      <c r="AD8" s="242"/>
      <c r="AE8" s="242"/>
      <c r="AF8" s="242"/>
      <c r="AG8" s="242"/>
      <c r="AH8" s="30"/>
      <c r="AI8" s="17"/>
      <c r="AJ8" s="234" t="s">
        <v>4</v>
      </c>
      <c r="AK8" s="235"/>
      <c r="AL8" s="235"/>
      <c r="AM8" s="235"/>
      <c r="AN8" s="235"/>
      <c r="AO8" s="235"/>
      <c r="AP8" s="235"/>
      <c r="AQ8" s="235"/>
      <c r="AR8" s="235"/>
      <c r="AS8" s="236"/>
      <c r="AT8" s="237" t="s">
        <v>41</v>
      </c>
      <c r="AU8" s="237"/>
      <c r="AV8" s="237"/>
      <c r="AW8" s="237"/>
      <c r="AX8" s="237"/>
      <c r="AY8" s="237"/>
      <c r="AZ8" s="237"/>
      <c r="BA8" s="237"/>
      <c r="BB8" s="237"/>
      <c r="BC8" s="237"/>
      <c r="BD8" s="237"/>
      <c r="BE8" s="237"/>
      <c r="BF8" s="237"/>
      <c r="BG8" s="237"/>
      <c r="BH8" s="237"/>
      <c r="BI8" s="237"/>
      <c r="BJ8" s="237"/>
      <c r="BK8" s="237"/>
      <c r="BL8" s="237"/>
      <c r="BM8" s="237"/>
      <c r="BN8" s="237"/>
      <c r="BO8" s="237"/>
      <c r="BP8" s="18"/>
      <c r="BT8">
        <f t="shared" ref="BT8" si="0">IF(L8="",0,1)</f>
        <v>0</v>
      </c>
    </row>
    <row r="9" spans="1:74" ht="15">
      <c r="A9" s="30"/>
      <c r="B9" s="238" t="s">
        <v>323</v>
      </c>
      <c r="C9" s="239"/>
      <c r="D9" s="239"/>
      <c r="E9" s="239"/>
      <c r="F9" s="239"/>
      <c r="G9" s="239"/>
      <c r="H9" s="239"/>
      <c r="I9" s="239"/>
      <c r="J9" s="239"/>
      <c r="K9" s="240"/>
      <c r="L9" s="107"/>
      <c r="M9" s="107"/>
      <c r="N9" s="107"/>
      <c r="O9" s="107"/>
      <c r="P9" s="107"/>
      <c r="Q9" s="107"/>
      <c r="R9" s="107"/>
      <c r="S9" s="107"/>
      <c r="T9" s="107"/>
      <c r="U9" s="107"/>
      <c r="V9" s="107"/>
      <c r="W9" s="107"/>
      <c r="X9" s="107"/>
      <c r="Y9" s="107"/>
      <c r="Z9" s="107"/>
      <c r="AA9" s="107"/>
      <c r="AB9" s="107"/>
      <c r="AC9" s="107"/>
      <c r="AD9" s="107"/>
      <c r="AE9" s="107"/>
      <c r="AF9" s="107"/>
      <c r="AG9" s="107"/>
      <c r="AH9" s="30"/>
      <c r="AI9" s="17"/>
      <c r="AJ9" s="234" t="s">
        <v>5</v>
      </c>
      <c r="AK9" s="235"/>
      <c r="AL9" s="235"/>
      <c r="AM9" s="235"/>
      <c r="AN9" s="235"/>
      <c r="AO9" s="235"/>
      <c r="AP9" s="235"/>
      <c r="AQ9" s="235"/>
      <c r="AR9" s="235"/>
      <c r="AS9" s="236"/>
      <c r="AT9" s="237" t="s">
        <v>31</v>
      </c>
      <c r="AU9" s="237"/>
      <c r="AV9" s="237"/>
      <c r="AW9" s="237"/>
      <c r="AX9" s="237"/>
      <c r="AY9" s="237"/>
      <c r="AZ9" s="237"/>
      <c r="BA9" s="237"/>
      <c r="BB9" s="237"/>
      <c r="BC9" s="237"/>
      <c r="BD9" s="237"/>
      <c r="BE9" s="237"/>
      <c r="BF9" s="237"/>
      <c r="BG9" s="237"/>
      <c r="BH9" s="237"/>
      <c r="BI9" s="237"/>
      <c r="BJ9" s="237"/>
      <c r="BK9" s="237"/>
      <c r="BL9" s="237"/>
      <c r="BM9" s="237"/>
      <c r="BN9" s="237"/>
      <c r="BO9" s="237"/>
      <c r="BP9" s="18"/>
      <c r="BT9">
        <f>IF(L9="",0,1)</f>
        <v>0</v>
      </c>
    </row>
    <row r="10" spans="1:74" ht="15">
      <c r="A10" s="30"/>
      <c r="B10" s="106" t="s">
        <v>6</v>
      </c>
      <c r="C10" s="106"/>
      <c r="D10" s="106"/>
      <c r="E10" s="106"/>
      <c r="F10" s="106"/>
      <c r="G10" s="106"/>
      <c r="H10" s="106"/>
      <c r="I10" s="106"/>
      <c r="J10" s="106"/>
      <c r="K10" s="106"/>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30"/>
      <c r="AI10" s="17"/>
      <c r="AJ10" s="108" t="s">
        <v>6</v>
      </c>
      <c r="AK10" s="108"/>
      <c r="AL10" s="108"/>
      <c r="AM10" s="108"/>
      <c r="AN10" s="108"/>
      <c r="AO10" s="108"/>
      <c r="AP10" s="108"/>
      <c r="AQ10" s="108"/>
      <c r="AR10" s="108"/>
      <c r="AS10" s="108"/>
      <c r="AT10" s="197" t="s">
        <v>31</v>
      </c>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8"/>
      <c r="BT10">
        <f>IF(L10="",0,1)</f>
        <v>0</v>
      </c>
    </row>
    <row r="11" spans="1:74" ht="15">
      <c r="A11" s="30"/>
      <c r="B11" s="45"/>
      <c r="C11" s="45"/>
      <c r="D11" s="45"/>
      <c r="E11" s="45"/>
      <c r="F11" s="45"/>
      <c r="G11" s="45"/>
      <c r="H11" s="45"/>
      <c r="I11" s="45"/>
      <c r="J11" s="45"/>
      <c r="K11" s="45"/>
      <c r="L11" s="44"/>
      <c r="M11" s="44"/>
      <c r="N11" s="44"/>
      <c r="O11" s="44"/>
      <c r="P11" s="44"/>
      <c r="Q11" s="44"/>
      <c r="R11" s="44"/>
      <c r="S11" s="44"/>
      <c r="T11" s="44"/>
      <c r="U11" s="44"/>
      <c r="V11" s="44"/>
      <c r="W11" s="44"/>
      <c r="X11" s="44"/>
      <c r="Y11" s="44"/>
      <c r="Z11" s="44"/>
      <c r="AA11" s="44"/>
      <c r="AB11" s="44"/>
      <c r="AC11" s="44"/>
      <c r="AD11" s="44"/>
      <c r="AE11" s="44"/>
      <c r="AF11" s="44"/>
      <c r="AG11" s="44"/>
      <c r="AH11" s="30"/>
      <c r="AI11" s="17"/>
      <c r="AJ11" s="60"/>
      <c r="AK11" s="60"/>
      <c r="AL11" s="60"/>
      <c r="AM11" s="60"/>
      <c r="AN11" s="60"/>
      <c r="AO11" s="60"/>
      <c r="AP11" s="60"/>
      <c r="AQ11" s="60"/>
      <c r="AR11" s="60"/>
      <c r="AS11" s="60"/>
      <c r="AT11" s="41"/>
      <c r="AU11" s="41"/>
      <c r="AV11" s="41"/>
      <c r="AW11" s="41"/>
      <c r="AX11" s="41"/>
      <c r="AY11" s="41"/>
      <c r="AZ11" s="41"/>
      <c r="BA11" s="41"/>
      <c r="BB11" s="41"/>
      <c r="BC11" s="41"/>
      <c r="BD11" s="41"/>
      <c r="BE11" s="41"/>
      <c r="BF11" s="41"/>
      <c r="BG11" s="41"/>
      <c r="BH11" s="41"/>
      <c r="BI11" s="41"/>
      <c r="BJ11" s="41"/>
      <c r="BK11" s="41"/>
      <c r="BL11" s="41"/>
      <c r="BM11" s="41"/>
      <c r="BN11" s="41"/>
      <c r="BO11" s="41"/>
      <c r="BP11" s="18"/>
    </row>
    <row r="12" spans="1:74" ht="15">
      <c r="A12" s="30"/>
      <c r="B12" s="125" t="s">
        <v>33</v>
      </c>
      <c r="C12" s="125"/>
      <c r="D12" s="125"/>
      <c r="E12" s="125"/>
      <c r="F12" s="125"/>
      <c r="G12" s="125"/>
      <c r="H12" s="125"/>
      <c r="I12" s="125"/>
      <c r="J12" s="125"/>
      <c r="K12" s="125"/>
      <c r="L12" s="32"/>
      <c r="M12" s="32"/>
      <c r="N12" s="32"/>
      <c r="O12" s="32"/>
      <c r="P12" s="32"/>
      <c r="Q12" s="32"/>
      <c r="R12" s="32"/>
      <c r="S12" s="32"/>
      <c r="T12" s="32"/>
      <c r="U12" s="32"/>
      <c r="V12" s="32"/>
      <c r="W12" s="32"/>
      <c r="X12" s="32"/>
      <c r="Y12" s="32"/>
      <c r="Z12" s="32"/>
      <c r="AA12" s="32"/>
      <c r="AB12" s="32"/>
      <c r="AC12" s="32"/>
      <c r="AD12" s="32"/>
      <c r="AE12" s="32"/>
      <c r="AF12" s="32"/>
      <c r="AG12" s="32"/>
      <c r="AH12" s="30"/>
      <c r="AI12" s="17"/>
      <c r="AJ12" s="126" t="s">
        <v>33</v>
      </c>
      <c r="AK12" s="126"/>
      <c r="AL12" s="126"/>
      <c r="AM12" s="126"/>
      <c r="AN12" s="126"/>
      <c r="AO12" s="126"/>
      <c r="AP12" s="126"/>
      <c r="AQ12" s="126"/>
      <c r="AR12" s="126"/>
      <c r="AS12" s="126"/>
      <c r="AT12" s="19"/>
      <c r="AU12" s="19"/>
      <c r="AV12" s="19"/>
      <c r="AW12" s="19"/>
      <c r="AX12" s="19"/>
      <c r="AY12" s="19"/>
      <c r="AZ12" s="19"/>
      <c r="BA12" s="19"/>
      <c r="BB12" s="19"/>
      <c r="BC12" s="19"/>
      <c r="BD12" s="19"/>
      <c r="BE12" s="19"/>
      <c r="BF12" s="19"/>
      <c r="BG12" s="19"/>
      <c r="BH12" s="19"/>
      <c r="BI12" s="19"/>
      <c r="BJ12" s="19"/>
      <c r="BK12" s="19"/>
      <c r="BL12" s="19"/>
      <c r="BM12" s="19"/>
      <c r="BN12" s="19"/>
      <c r="BO12" s="19"/>
      <c r="BP12" s="18"/>
    </row>
    <row r="13" spans="1:74" ht="15">
      <c r="A13" s="30"/>
      <c r="B13" s="206" t="s">
        <v>324</v>
      </c>
      <c r="C13" s="207"/>
      <c r="D13" s="207"/>
      <c r="E13" s="207"/>
      <c r="F13" s="207"/>
      <c r="G13" s="207"/>
      <c r="H13" s="207"/>
      <c r="I13" s="207"/>
      <c r="J13" s="207"/>
      <c r="K13" s="208"/>
      <c r="L13" s="85" t="s">
        <v>341</v>
      </c>
      <c r="M13" s="85"/>
      <c r="N13" s="85"/>
      <c r="O13" s="85"/>
      <c r="P13" s="85"/>
      <c r="Q13" s="85" t="s">
        <v>342</v>
      </c>
      <c r="R13" s="85"/>
      <c r="S13" s="85"/>
      <c r="T13" s="85"/>
      <c r="U13" s="85"/>
      <c r="V13" s="85"/>
      <c r="W13" s="85"/>
      <c r="X13" s="85" t="s">
        <v>343</v>
      </c>
      <c r="Y13" s="85"/>
      <c r="Z13" s="85"/>
      <c r="AA13" s="85"/>
      <c r="AB13" s="85"/>
      <c r="AC13" s="85"/>
      <c r="AD13" s="85"/>
      <c r="AE13" s="85"/>
      <c r="AF13" s="85"/>
      <c r="AG13" s="85"/>
      <c r="AH13" s="30"/>
      <c r="AI13" s="17"/>
      <c r="AJ13" s="206" t="s">
        <v>324</v>
      </c>
      <c r="AK13" s="207"/>
      <c r="AL13" s="207"/>
      <c r="AM13" s="207"/>
      <c r="AN13" s="207"/>
      <c r="AO13" s="207"/>
      <c r="AP13" s="207"/>
      <c r="AQ13" s="207"/>
      <c r="AR13" s="207"/>
      <c r="AS13" s="208"/>
      <c r="AT13" s="85" t="s">
        <v>341</v>
      </c>
      <c r="AU13" s="85"/>
      <c r="AV13" s="85"/>
      <c r="AW13" s="85"/>
      <c r="AX13" s="85"/>
      <c r="AY13" s="85" t="s">
        <v>342</v>
      </c>
      <c r="AZ13" s="85"/>
      <c r="BA13" s="85"/>
      <c r="BB13" s="85"/>
      <c r="BC13" s="85"/>
      <c r="BD13" s="85"/>
      <c r="BE13" s="85"/>
      <c r="BF13" s="85" t="s">
        <v>343</v>
      </c>
      <c r="BG13" s="85"/>
      <c r="BH13" s="85"/>
      <c r="BI13" s="85"/>
      <c r="BJ13" s="85"/>
      <c r="BK13" s="85"/>
      <c r="BL13" s="85"/>
      <c r="BM13" s="85"/>
      <c r="BN13" s="85"/>
      <c r="BO13" s="85"/>
      <c r="BP13" s="18"/>
    </row>
    <row r="14" spans="1:74" ht="15">
      <c r="A14" s="30"/>
      <c r="B14" s="209"/>
      <c r="C14" s="210"/>
      <c r="D14" s="210"/>
      <c r="E14" s="210"/>
      <c r="F14" s="210"/>
      <c r="G14" s="210"/>
      <c r="H14" s="210"/>
      <c r="I14" s="210"/>
      <c r="J14" s="210"/>
      <c r="K14" s="211"/>
      <c r="L14" s="133"/>
      <c r="M14" s="134"/>
      <c r="N14" s="134"/>
      <c r="O14" s="134"/>
      <c r="P14" s="135"/>
      <c r="Q14" s="133"/>
      <c r="R14" s="134"/>
      <c r="S14" s="134"/>
      <c r="T14" s="134"/>
      <c r="U14" s="134"/>
      <c r="V14" s="134"/>
      <c r="W14" s="135"/>
      <c r="X14" s="136"/>
      <c r="Y14" s="137"/>
      <c r="Z14" s="137"/>
      <c r="AA14" s="137"/>
      <c r="AB14" s="137"/>
      <c r="AC14" s="137"/>
      <c r="AD14" s="137"/>
      <c r="AE14" s="137"/>
      <c r="AF14" s="137"/>
      <c r="AG14" s="138"/>
      <c r="AH14" s="30"/>
      <c r="AI14" s="17"/>
      <c r="AJ14" s="209"/>
      <c r="AK14" s="210"/>
      <c r="AL14" s="210"/>
      <c r="AM14" s="210"/>
      <c r="AN14" s="210"/>
      <c r="AO14" s="210"/>
      <c r="AP14" s="210"/>
      <c r="AQ14" s="210"/>
      <c r="AR14" s="210"/>
      <c r="AS14" s="211"/>
      <c r="AT14" s="127" t="s">
        <v>54</v>
      </c>
      <c r="AU14" s="128"/>
      <c r="AV14" s="128"/>
      <c r="AW14" s="128"/>
      <c r="AX14" s="129"/>
      <c r="AY14" s="127" t="s">
        <v>135</v>
      </c>
      <c r="AZ14" s="128"/>
      <c r="BA14" s="128"/>
      <c r="BB14" s="128"/>
      <c r="BC14" s="128"/>
      <c r="BD14" s="128"/>
      <c r="BE14" s="129"/>
      <c r="BF14" s="130" t="s">
        <v>366</v>
      </c>
      <c r="BG14" s="131"/>
      <c r="BH14" s="131"/>
      <c r="BI14" s="131"/>
      <c r="BJ14" s="131"/>
      <c r="BK14" s="131"/>
      <c r="BL14" s="131"/>
      <c r="BM14" s="131"/>
      <c r="BN14" s="131"/>
      <c r="BO14" s="132"/>
      <c r="BP14" s="18"/>
      <c r="BT14">
        <f>IF(L14="",0,1)</f>
        <v>0</v>
      </c>
      <c r="BU14">
        <f>IF(Q14="",0,1)</f>
        <v>0</v>
      </c>
      <c r="BV14">
        <f>IF(X14="",0,1)</f>
        <v>0</v>
      </c>
    </row>
    <row r="15" spans="1:74" ht="15">
      <c r="A15" s="30"/>
      <c r="B15" s="212" t="s">
        <v>325</v>
      </c>
      <c r="C15" s="213"/>
      <c r="D15" s="213"/>
      <c r="E15" s="213"/>
      <c r="F15" s="213"/>
      <c r="G15" s="213"/>
      <c r="H15" s="213"/>
      <c r="I15" s="213"/>
      <c r="J15" s="213"/>
      <c r="K15" s="214"/>
      <c r="L15" s="218" t="s">
        <v>364</v>
      </c>
      <c r="M15" s="219"/>
      <c r="N15" s="219"/>
      <c r="O15" s="219"/>
      <c r="P15" s="219"/>
      <c r="Q15" s="220"/>
      <c r="R15" s="219" t="s">
        <v>365</v>
      </c>
      <c r="S15" s="219"/>
      <c r="T15" s="219"/>
      <c r="U15" s="219"/>
      <c r="V15" s="219"/>
      <c r="W15" s="220"/>
      <c r="X15" s="251" t="s">
        <v>348</v>
      </c>
      <c r="Y15" s="252"/>
      <c r="Z15" s="252"/>
      <c r="AA15" s="252"/>
      <c r="AB15" s="252"/>
      <c r="AC15" s="252"/>
      <c r="AD15" s="252"/>
      <c r="AE15" s="252"/>
      <c r="AF15" s="252"/>
      <c r="AG15" s="253"/>
      <c r="AH15" s="30"/>
      <c r="AI15" s="17"/>
      <c r="AJ15" s="212" t="s">
        <v>325</v>
      </c>
      <c r="AK15" s="213"/>
      <c r="AL15" s="213"/>
      <c r="AM15" s="213"/>
      <c r="AN15" s="213"/>
      <c r="AO15" s="213"/>
      <c r="AP15" s="213"/>
      <c r="AQ15" s="213"/>
      <c r="AR15" s="213"/>
      <c r="AS15" s="214"/>
      <c r="AT15" s="218" t="s">
        <v>364</v>
      </c>
      <c r="AU15" s="219"/>
      <c r="AV15" s="219"/>
      <c r="AW15" s="219"/>
      <c r="AX15" s="219"/>
      <c r="AY15" s="220"/>
      <c r="AZ15" s="219" t="s">
        <v>365</v>
      </c>
      <c r="BA15" s="219"/>
      <c r="BB15" s="219"/>
      <c r="BC15" s="219"/>
      <c r="BD15" s="219"/>
      <c r="BE15" s="220"/>
      <c r="BF15" s="172" t="s">
        <v>348</v>
      </c>
      <c r="BG15" s="173"/>
      <c r="BH15" s="173"/>
      <c r="BI15" s="173"/>
      <c r="BJ15" s="173"/>
      <c r="BK15" s="173"/>
      <c r="BL15" s="173"/>
      <c r="BM15" s="173"/>
      <c r="BN15" s="173"/>
      <c r="BO15" s="174"/>
      <c r="BP15" s="18"/>
    </row>
    <row r="16" spans="1:74" ht="15.5" thickBot="1">
      <c r="A16" s="30"/>
      <c r="B16" s="215"/>
      <c r="C16" s="216"/>
      <c r="D16" s="216"/>
      <c r="E16" s="216"/>
      <c r="F16" s="216"/>
      <c r="G16" s="216"/>
      <c r="H16" s="216"/>
      <c r="I16" s="216"/>
      <c r="J16" s="216"/>
      <c r="K16" s="217"/>
      <c r="L16" s="246"/>
      <c r="M16" s="247"/>
      <c r="N16" s="247"/>
      <c r="O16" s="247"/>
      <c r="P16" s="247"/>
      <c r="Q16" s="248"/>
      <c r="R16" s="249"/>
      <c r="S16" s="249"/>
      <c r="T16" s="249"/>
      <c r="U16" s="249"/>
      <c r="V16" s="249"/>
      <c r="W16" s="250"/>
      <c r="X16" s="254"/>
      <c r="Y16" s="255"/>
      <c r="Z16" s="255"/>
      <c r="AA16" s="255"/>
      <c r="AB16" s="255"/>
      <c r="AC16" s="255"/>
      <c r="AD16" s="255"/>
      <c r="AE16" s="255"/>
      <c r="AF16" s="255"/>
      <c r="AG16" s="256"/>
      <c r="AH16" s="30"/>
      <c r="AI16" s="17"/>
      <c r="AJ16" s="215"/>
      <c r="AK16" s="216"/>
      <c r="AL16" s="216"/>
      <c r="AM16" s="216"/>
      <c r="AN16" s="216"/>
      <c r="AO16" s="216"/>
      <c r="AP16" s="216"/>
      <c r="AQ16" s="216"/>
      <c r="AR16" s="216"/>
      <c r="AS16" s="217"/>
      <c r="AT16" s="169" t="s">
        <v>382</v>
      </c>
      <c r="AU16" s="170"/>
      <c r="AV16" s="170"/>
      <c r="AW16" s="170"/>
      <c r="AX16" s="170"/>
      <c r="AY16" s="171"/>
      <c r="AZ16" s="169" t="s">
        <v>383</v>
      </c>
      <c r="BA16" s="170"/>
      <c r="BB16" s="170"/>
      <c r="BC16" s="170"/>
      <c r="BD16" s="170"/>
      <c r="BE16" s="171"/>
      <c r="BF16" s="175"/>
      <c r="BG16" s="176"/>
      <c r="BH16" s="176"/>
      <c r="BI16" s="176"/>
      <c r="BJ16" s="176"/>
      <c r="BK16" s="176"/>
      <c r="BL16" s="176"/>
      <c r="BM16" s="176"/>
      <c r="BN16" s="176"/>
      <c r="BO16" s="177"/>
      <c r="BP16" s="18"/>
      <c r="BT16">
        <f>IF(L16="",0,1)</f>
        <v>0</v>
      </c>
    </row>
    <row r="17" spans="1:72" ht="15.5" thickBot="1">
      <c r="A17" s="30"/>
      <c r="B17" s="198" t="s">
        <v>335</v>
      </c>
      <c r="C17" s="199"/>
      <c r="D17" s="199"/>
      <c r="E17" s="199"/>
      <c r="F17" s="199"/>
      <c r="G17" s="199"/>
      <c r="H17" s="199"/>
      <c r="I17" s="199"/>
      <c r="J17" s="199"/>
      <c r="K17" s="199"/>
      <c r="L17" s="200" t="str">
        <f>IF(L16="","要","否")</f>
        <v>要</v>
      </c>
      <c r="M17" s="201"/>
      <c r="N17" s="201"/>
      <c r="O17" s="202"/>
      <c r="P17" s="203" t="s">
        <v>338</v>
      </c>
      <c r="Q17" s="204"/>
      <c r="R17" s="204"/>
      <c r="S17" s="204"/>
      <c r="T17" s="204"/>
      <c r="U17" s="204"/>
      <c r="V17" s="204"/>
      <c r="W17" s="204"/>
      <c r="X17" s="204"/>
      <c r="Y17" s="204"/>
      <c r="Z17" s="204"/>
      <c r="AA17" s="204"/>
      <c r="AB17" s="204"/>
      <c r="AC17" s="204"/>
      <c r="AD17" s="204"/>
      <c r="AE17" s="204"/>
      <c r="AF17" s="204"/>
      <c r="AG17" s="205"/>
      <c r="AH17" s="30"/>
      <c r="AI17" s="17"/>
      <c r="AJ17" s="164" t="s">
        <v>335</v>
      </c>
      <c r="AK17" s="165"/>
      <c r="AL17" s="165"/>
      <c r="AM17" s="165"/>
      <c r="AN17" s="165"/>
      <c r="AO17" s="165"/>
      <c r="AP17" s="165"/>
      <c r="AQ17" s="165"/>
      <c r="AR17" s="165"/>
      <c r="AS17" s="165"/>
      <c r="AT17" s="158" t="str">
        <f>IF(AT16="","要","否")</f>
        <v>否</v>
      </c>
      <c r="AU17" s="159"/>
      <c r="AV17" s="159"/>
      <c r="AW17" s="160"/>
      <c r="AX17" s="161" t="s">
        <v>338</v>
      </c>
      <c r="AY17" s="162"/>
      <c r="AZ17" s="162"/>
      <c r="BA17" s="162"/>
      <c r="BB17" s="162"/>
      <c r="BC17" s="162"/>
      <c r="BD17" s="162"/>
      <c r="BE17" s="162"/>
      <c r="BF17" s="162"/>
      <c r="BG17" s="162"/>
      <c r="BH17" s="162"/>
      <c r="BI17" s="162"/>
      <c r="BJ17" s="162"/>
      <c r="BK17" s="162"/>
      <c r="BL17" s="162"/>
      <c r="BM17" s="162"/>
      <c r="BN17" s="162"/>
      <c r="BO17" s="163"/>
      <c r="BP17" s="18"/>
    </row>
    <row r="18" spans="1:72" ht="15">
      <c r="A18" s="30"/>
      <c r="B18" s="102" t="s">
        <v>326</v>
      </c>
      <c r="C18" s="102"/>
      <c r="D18" s="102"/>
      <c r="E18" s="102"/>
      <c r="F18" s="102"/>
      <c r="G18" s="102"/>
      <c r="H18" s="102"/>
      <c r="I18" s="102"/>
      <c r="J18" s="102"/>
      <c r="K18" s="102"/>
      <c r="L18" s="150"/>
      <c r="M18" s="151"/>
      <c r="N18" s="151"/>
      <c r="O18" s="151"/>
      <c r="P18" s="152"/>
      <c r="Q18" s="152"/>
      <c r="R18" s="152"/>
      <c r="S18" s="152"/>
      <c r="T18" s="152"/>
      <c r="U18" s="152"/>
      <c r="V18" s="152"/>
      <c r="W18" s="152"/>
      <c r="X18" s="152"/>
      <c r="Y18" s="152"/>
      <c r="Z18" s="152"/>
      <c r="AA18" s="152"/>
      <c r="AB18" s="152"/>
      <c r="AC18" s="152"/>
      <c r="AD18" s="152"/>
      <c r="AE18" s="152"/>
      <c r="AF18" s="152"/>
      <c r="AG18" s="153"/>
      <c r="AH18" s="30"/>
      <c r="AI18" s="17"/>
      <c r="AJ18" s="104" t="s">
        <v>8</v>
      </c>
      <c r="AK18" s="104"/>
      <c r="AL18" s="104"/>
      <c r="AM18" s="104"/>
      <c r="AN18" s="104"/>
      <c r="AO18" s="104"/>
      <c r="AP18" s="104"/>
      <c r="AQ18" s="104"/>
      <c r="AR18" s="104"/>
      <c r="AS18" s="104"/>
      <c r="AT18" s="139" t="s">
        <v>55</v>
      </c>
      <c r="AU18" s="140"/>
      <c r="AV18" s="140"/>
      <c r="AW18" s="140"/>
      <c r="AX18" s="141"/>
      <c r="AY18" s="141"/>
      <c r="AZ18" s="141"/>
      <c r="BA18" s="141"/>
      <c r="BB18" s="141"/>
      <c r="BC18" s="141"/>
      <c r="BD18" s="141"/>
      <c r="BE18" s="141"/>
      <c r="BF18" s="141"/>
      <c r="BG18" s="141"/>
      <c r="BH18" s="141"/>
      <c r="BI18" s="141"/>
      <c r="BJ18" s="141"/>
      <c r="BK18" s="141"/>
      <c r="BL18" s="141"/>
      <c r="BM18" s="141"/>
      <c r="BN18" s="141"/>
      <c r="BO18" s="142"/>
      <c r="BP18" s="18"/>
      <c r="BT18">
        <f t="shared" ref="BT18:BT19" si="1">IF(L18="",0,1)</f>
        <v>0</v>
      </c>
    </row>
    <row r="19" spans="1:72" ht="16.5" customHeight="1">
      <c r="A19" s="30"/>
      <c r="B19" s="227" t="s">
        <v>327</v>
      </c>
      <c r="C19" s="102"/>
      <c r="D19" s="102"/>
      <c r="E19" s="102"/>
      <c r="F19" s="102"/>
      <c r="G19" s="102"/>
      <c r="H19" s="102"/>
      <c r="I19" s="102"/>
      <c r="J19" s="102"/>
      <c r="K19" s="102"/>
      <c r="L19" s="166"/>
      <c r="M19" s="167"/>
      <c r="N19" s="167"/>
      <c r="O19" s="167"/>
      <c r="P19" s="167"/>
      <c r="Q19" s="167"/>
      <c r="R19" s="167"/>
      <c r="S19" s="167"/>
      <c r="T19" s="167"/>
      <c r="U19" s="167"/>
      <c r="V19" s="167"/>
      <c r="W19" s="167"/>
      <c r="X19" s="167"/>
      <c r="Y19" s="167"/>
      <c r="Z19" s="167"/>
      <c r="AA19" s="167"/>
      <c r="AB19" s="167"/>
      <c r="AC19" s="167"/>
      <c r="AD19" s="168"/>
      <c r="AE19" s="119" t="s">
        <v>10</v>
      </c>
      <c r="AF19" s="120"/>
      <c r="AG19" s="121"/>
      <c r="AH19" s="30"/>
      <c r="AI19" s="17"/>
      <c r="AJ19" s="181" t="s">
        <v>35</v>
      </c>
      <c r="AK19" s="104"/>
      <c r="AL19" s="104"/>
      <c r="AM19" s="104"/>
      <c r="AN19" s="104"/>
      <c r="AO19" s="104"/>
      <c r="AP19" s="104"/>
      <c r="AQ19" s="104"/>
      <c r="AR19" s="104"/>
      <c r="AS19" s="104"/>
      <c r="AT19" s="178">
        <v>10100</v>
      </c>
      <c r="AU19" s="179"/>
      <c r="AV19" s="179"/>
      <c r="AW19" s="179"/>
      <c r="AX19" s="179"/>
      <c r="AY19" s="179"/>
      <c r="AZ19" s="179"/>
      <c r="BA19" s="179"/>
      <c r="BB19" s="179"/>
      <c r="BC19" s="179"/>
      <c r="BD19" s="179"/>
      <c r="BE19" s="179"/>
      <c r="BF19" s="179"/>
      <c r="BG19" s="179"/>
      <c r="BH19" s="179"/>
      <c r="BI19" s="179"/>
      <c r="BJ19" s="179"/>
      <c r="BK19" s="179"/>
      <c r="BL19" s="180"/>
      <c r="BM19" s="144" t="s">
        <v>10</v>
      </c>
      <c r="BN19" s="145"/>
      <c r="BO19" s="146"/>
      <c r="BP19" s="18"/>
      <c r="BT19">
        <f t="shared" si="1"/>
        <v>0</v>
      </c>
    </row>
    <row r="20" spans="1:72" ht="16.5" customHeight="1">
      <c r="A20" s="30"/>
      <c r="B20" s="221" t="s">
        <v>42</v>
      </c>
      <c r="C20" s="222"/>
      <c r="D20" s="222"/>
      <c r="E20" s="222"/>
      <c r="F20" s="222"/>
      <c r="G20" s="222"/>
      <c r="H20" s="222"/>
      <c r="I20" s="222"/>
      <c r="J20" s="222"/>
      <c r="K20" s="223"/>
      <c r="L20" s="224"/>
      <c r="M20" s="225"/>
      <c r="N20" s="225"/>
      <c r="O20" s="225"/>
      <c r="P20" s="225"/>
      <c r="Q20" s="225"/>
      <c r="R20" s="225"/>
      <c r="S20" s="225"/>
      <c r="T20" s="225"/>
      <c r="U20" s="225"/>
      <c r="V20" s="225"/>
      <c r="W20" s="225"/>
      <c r="X20" s="225"/>
      <c r="Y20" s="225"/>
      <c r="Z20" s="225"/>
      <c r="AA20" s="225"/>
      <c r="AB20" s="225"/>
      <c r="AC20" s="225"/>
      <c r="AD20" s="226"/>
      <c r="AE20" s="119" t="s">
        <v>10</v>
      </c>
      <c r="AF20" s="120"/>
      <c r="AG20" s="121"/>
      <c r="AH20" s="30"/>
      <c r="AI20" s="17"/>
      <c r="AJ20" s="147" t="s">
        <v>42</v>
      </c>
      <c r="AK20" s="148"/>
      <c r="AL20" s="148"/>
      <c r="AM20" s="148"/>
      <c r="AN20" s="148"/>
      <c r="AO20" s="148"/>
      <c r="AP20" s="148"/>
      <c r="AQ20" s="148"/>
      <c r="AR20" s="148"/>
      <c r="AS20" s="149"/>
      <c r="AT20" s="194">
        <v>100</v>
      </c>
      <c r="AU20" s="195"/>
      <c r="AV20" s="195"/>
      <c r="AW20" s="195"/>
      <c r="AX20" s="195"/>
      <c r="AY20" s="195"/>
      <c r="AZ20" s="195"/>
      <c r="BA20" s="195"/>
      <c r="BB20" s="195"/>
      <c r="BC20" s="195"/>
      <c r="BD20" s="195"/>
      <c r="BE20" s="195"/>
      <c r="BF20" s="195"/>
      <c r="BG20" s="195"/>
      <c r="BH20" s="195"/>
      <c r="BI20" s="195"/>
      <c r="BJ20" s="195"/>
      <c r="BK20" s="195"/>
      <c r="BL20" s="196"/>
      <c r="BM20" s="144" t="s">
        <v>10</v>
      </c>
      <c r="BN20" s="145"/>
      <c r="BO20" s="146"/>
      <c r="BP20" s="18"/>
    </row>
    <row r="21" spans="1:72" ht="15">
      <c r="A21" s="30"/>
      <c r="B21" s="102" t="s">
        <v>328</v>
      </c>
      <c r="C21" s="102"/>
      <c r="D21" s="102"/>
      <c r="E21" s="102"/>
      <c r="F21" s="102"/>
      <c r="G21" s="102"/>
      <c r="H21" s="102"/>
      <c r="I21" s="102"/>
      <c r="J21" s="102"/>
      <c r="K21" s="102"/>
      <c r="L21" s="116" t="str">
        <f>IF((L19-L20)=0,"(自動計算)",(L19-L20))</f>
        <v>(自動計算)</v>
      </c>
      <c r="M21" s="117"/>
      <c r="N21" s="117"/>
      <c r="O21" s="117"/>
      <c r="P21" s="117"/>
      <c r="Q21" s="117"/>
      <c r="R21" s="117"/>
      <c r="S21" s="117"/>
      <c r="T21" s="117"/>
      <c r="U21" s="117"/>
      <c r="V21" s="117"/>
      <c r="W21" s="117"/>
      <c r="X21" s="117"/>
      <c r="Y21" s="117"/>
      <c r="Z21" s="117"/>
      <c r="AA21" s="117"/>
      <c r="AB21" s="117"/>
      <c r="AC21" s="117"/>
      <c r="AD21" s="118"/>
      <c r="AE21" s="119" t="s">
        <v>10</v>
      </c>
      <c r="AF21" s="120"/>
      <c r="AG21" s="121"/>
      <c r="AH21" s="30"/>
      <c r="AI21" s="17"/>
      <c r="AJ21" s="104" t="s">
        <v>43</v>
      </c>
      <c r="AK21" s="104"/>
      <c r="AL21" s="104"/>
      <c r="AM21" s="104"/>
      <c r="AN21" s="104"/>
      <c r="AO21" s="104"/>
      <c r="AP21" s="104"/>
      <c r="AQ21" s="104"/>
      <c r="AR21" s="104"/>
      <c r="AS21" s="104"/>
      <c r="AT21" s="122">
        <f>IF((AT19-AT20)=0,"(自動計算)",(AT19-AT20))</f>
        <v>10000</v>
      </c>
      <c r="AU21" s="123"/>
      <c r="AV21" s="123"/>
      <c r="AW21" s="123"/>
      <c r="AX21" s="123"/>
      <c r="AY21" s="123"/>
      <c r="AZ21" s="123"/>
      <c r="BA21" s="123"/>
      <c r="BB21" s="123"/>
      <c r="BC21" s="123"/>
      <c r="BD21" s="123"/>
      <c r="BE21" s="123"/>
      <c r="BF21" s="123"/>
      <c r="BG21" s="123"/>
      <c r="BH21" s="123"/>
      <c r="BI21" s="123"/>
      <c r="BJ21" s="123"/>
      <c r="BK21" s="123"/>
      <c r="BL21" s="124"/>
      <c r="BM21" s="144" t="s">
        <v>10</v>
      </c>
      <c r="BN21" s="145"/>
      <c r="BO21" s="146"/>
      <c r="BP21" s="18"/>
    </row>
    <row r="22" spans="1:72" ht="15">
      <c r="A22" s="30"/>
      <c r="B22" s="30"/>
      <c r="C22" s="30"/>
      <c r="D22" s="30"/>
      <c r="E22" s="30"/>
      <c r="F22" s="30"/>
      <c r="G22" s="30"/>
      <c r="H22" s="30"/>
      <c r="I22" s="30"/>
      <c r="J22" s="30"/>
      <c r="K22" s="30"/>
      <c r="L22" s="31"/>
      <c r="M22" s="31"/>
      <c r="N22" s="31"/>
      <c r="O22" s="31"/>
      <c r="P22" s="31"/>
      <c r="Q22" s="31"/>
      <c r="R22" s="31"/>
      <c r="S22" s="31"/>
      <c r="T22" s="31"/>
      <c r="U22" s="31"/>
      <c r="V22" s="31"/>
      <c r="W22" s="31"/>
      <c r="X22" s="31"/>
      <c r="Y22" s="31"/>
      <c r="Z22" s="31"/>
      <c r="AA22" s="31"/>
      <c r="AB22" s="31"/>
      <c r="AC22" s="31"/>
      <c r="AD22" s="31"/>
      <c r="AE22" s="31"/>
      <c r="AF22" s="31"/>
      <c r="AG22" s="31"/>
      <c r="AH22" s="30"/>
      <c r="AI22" s="17"/>
      <c r="AJ22" s="13"/>
      <c r="AK22" s="13"/>
      <c r="AL22" s="13"/>
      <c r="AM22" s="13"/>
      <c r="AN22" s="13"/>
      <c r="AO22" s="13"/>
      <c r="AP22" s="13"/>
      <c r="AQ22" s="13"/>
      <c r="AR22" s="13"/>
      <c r="AS22" s="13"/>
      <c r="AT22" s="19"/>
      <c r="AU22" s="19"/>
      <c r="AV22" s="19"/>
      <c r="AW22" s="19"/>
      <c r="AX22" s="19"/>
      <c r="AY22" s="19"/>
      <c r="AZ22" s="19"/>
      <c r="BA22" s="19"/>
      <c r="BB22" s="19"/>
      <c r="BC22" s="19"/>
      <c r="BD22" s="19"/>
      <c r="BE22" s="19"/>
      <c r="BF22" s="19"/>
      <c r="BG22" s="19"/>
      <c r="BH22" s="19"/>
      <c r="BI22" s="19"/>
      <c r="BJ22" s="19"/>
      <c r="BK22" s="19"/>
      <c r="BL22" s="19"/>
      <c r="BM22" s="19"/>
      <c r="BN22" s="19"/>
      <c r="BO22" s="19"/>
      <c r="BP22" s="18"/>
    </row>
    <row r="23" spans="1:72" ht="15">
      <c r="A23" s="30"/>
      <c r="B23" s="125" t="s">
        <v>36</v>
      </c>
      <c r="C23" s="125"/>
      <c r="D23" s="125"/>
      <c r="E23" s="125"/>
      <c r="F23" s="125"/>
      <c r="G23" s="125"/>
      <c r="H23" s="125"/>
      <c r="I23" s="125"/>
      <c r="J23" s="125"/>
      <c r="K23" s="125"/>
      <c r="L23" s="31"/>
      <c r="M23" s="31"/>
      <c r="N23" s="31"/>
      <c r="O23" s="31"/>
      <c r="P23" s="31"/>
      <c r="Q23" s="31"/>
      <c r="R23" s="31"/>
      <c r="S23" s="31"/>
      <c r="T23" s="31"/>
      <c r="U23" s="31"/>
      <c r="V23" s="31"/>
      <c r="W23" s="31"/>
      <c r="X23" s="31"/>
      <c r="Y23" s="31"/>
      <c r="Z23" s="31"/>
      <c r="AA23" s="31"/>
      <c r="AB23" s="31"/>
      <c r="AC23" s="31"/>
      <c r="AD23" s="31"/>
      <c r="AE23" s="31"/>
      <c r="AF23" s="31"/>
      <c r="AG23" s="31"/>
      <c r="AH23" s="30"/>
      <c r="AI23" s="17"/>
      <c r="AJ23" s="126" t="s">
        <v>36</v>
      </c>
      <c r="AK23" s="126"/>
      <c r="AL23" s="126"/>
      <c r="AM23" s="126"/>
      <c r="AN23" s="126"/>
      <c r="AO23" s="126"/>
      <c r="AP23" s="126"/>
      <c r="AQ23" s="126"/>
      <c r="AR23" s="126"/>
      <c r="AS23" s="126"/>
      <c r="AT23" s="59"/>
      <c r="AU23" s="59"/>
      <c r="AV23" s="59"/>
      <c r="AW23" s="59"/>
      <c r="AX23" s="59"/>
      <c r="AY23" s="59"/>
      <c r="AZ23" s="59"/>
      <c r="BA23" s="59"/>
      <c r="BB23" s="59"/>
      <c r="BC23" s="59"/>
      <c r="BD23" s="59"/>
      <c r="BE23" s="59"/>
      <c r="BF23" s="59"/>
      <c r="BG23" s="59"/>
      <c r="BH23" s="59"/>
      <c r="BI23" s="59"/>
      <c r="BJ23" s="59"/>
      <c r="BK23" s="59"/>
      <c r="BL23" s="59"/>
      <c r="BM23" s="59"/>
      <c r="BN23" s="59"/>
      <c r="BO23" s="59"/>
      <c r="BP23" s="18"/>
    </row>
    <row r="24" spans="1:72" ht="15.75" customHeight="1">
      <c r="A24" s="30"/>
      <c r="B24" s="228" t="s">
        <v>329</v>
      </c>
      <c r="C24" s="229"/>
      <c r="D24" s="229"/>
      <c r="E24" s="229"/>
      <c r="F24" s="229"/>
      <c r="G24" s="229"/>
      <c r="H24" s="229"/>
      <c r="I24" s="229"/>
      <c r="J24" s="229"/>
      <c r="K24" s="230"/>
      <c r="L24" s="182"/>
      <c r="M24" s="183"/>
      <c r="N24" s="183"/>
      <c r="O24" s="183"/>
      <c r="P24" s="183"/>
      <c r="Q24" s="183"/>
      <c r="R24" s="183"/>
      <c r="S24" s="183"/>
      <c r="T24" s="183"/>
      <c r="U24" s="183"/>
      <c r="V24" s="183"/>
      <c r="W24" s="183"/>
      <c r="X24" s="183"/>
      <c r="Y24" s="183"/>
      <c r="Z24" s="183"/>
      <c r="AA24" s="183"/>
      <c r="AB24" s="183"/>
      <c r="AC24" s="183"/>
      <c r="AD24" s="183"/>
      <c r="AE24" s="183"/>
      <c r="AF24" s="183"/>
      <c r="AG24" s="184"/>
      <c r="AH24" s="30"/>
      <c r="AI24" s="17"/>
      <c r="AJ24" s="188" t="s">
        <v>37</v>
      </c>
      <c r="AK24" s="189"/>
      <c r="AL24" s="189"/>
      <c r="AM24" s="189"/>
      <c r="AN24" s="189"/>
      <c r="AO24" s="189"/>
      <c r="AP24" s="189"/>
      <c r="AQ24" s="189"/>
      <c r="AR24" s="189"/>
      <c r="AS24" s="190"/>
      <c r="AT24" s="110" t="s">
        <v>394</v>
      </c>
      <c r="AU24" s="111"/>
      <c r="AV24" s="111"/>
      <c r="AW24" s="111"/>
      <c r="AX24" s="111"/>
      <c r="AY24" s="111"/>
      <c r="AZ24" s="111"/>
      <c r="BA24" s="111"/>
      <c r="BB24" s="111"/>
      <c r="BC24" s="111"/>
      <c r="BD24" s="111"/>
      <c r="BE24" s="111"/>
      <c r="BF24" s="111"/>
      <c r="BG24" s="111"/>
      <c r="BH24" s="111"/>
      <c r="BI24" s="111"/>
      <c r="BJ24" s="111"/>
      <c r="BK24" s="111"/>
      <c r="BL24" s="111"/>
      <c r="BM24" s="111"/>
      <c r="BN24" s="111"/>
      <c r="BO24" s="112"/>
      <c r="BP24" s="18"/>
      <c r="BT24">
        <f>IF(L24="",0,1)</f>
        <v>0</v>
      </c>
    </row>
    <row r="25" spans="1:72" ht="15">
      <c r="A25" s="30"/>
      <c r="B25" s="231"/>
      <c r="C25" s="232"/>
      <c r="D25" s="232"/>
      <c r="E25" s="232"/>
      <c r="F25" s="232"/>
      <c r="G25" s="232"/>
      <c r="H25" s="232"/>
      <c r="I25" s="232"/>
      <c r="J25" s="232"/>
      <c r="K25" s="233"/>
      <c r="L25" s="185"/>
      <c r="M25" s="186"/>
      <c r="N25" s="186"/>
      <c r="O25" s="186"/>
      <c r="P25" s="186"/>
      <c r="Q25" s="186"/>
      <c r="R25" s="186"/>
      <c r="S25" s="186"/>
      <c r="T25" s="186"/>
      <c r="U25" s="186"/>
      <c r="V25" s="186"/>
      <c r="W25" s="186"/>
      <c r="X25" s="186"/>
      <c r="Y25" s="186"/>
      <c r="Z25" s="186"/>
      <c r="AA25" s="186"/>
      <c r="AB25" s="186"/>
      <c r="AC25" s="186"/>
      <c r="AD25" s="186"/>
      <c r="AE25" s="186"/>
      <c r="AF25" s="186"/>
      <c r="AG25" s="187"/>
      <c r="AH25" s="30"/>
      <c r="AI25" s="17"/>
      <c r="AJ25" s="191"/>
      <c r="AK25" s="192"/>
      <c r="AL25" s="192"/>
      <c r="AM25" s="192"/>
      <c r="AN25" s="192"/>
      <c r="AO25" s="192"/>
      <c r="AP25" s="192"/>
      <c r="AQ25" s="192"/>
      <c r="AR25" s="192"/>
      <c r="AS25" s="193"/>
      <c r="AT25" s="113"/>
      <c r="AU25" s="114"/>
      <c r="AV25" s="114"/>
      <c r="AW25" s="114"/>
      <c r="AX25" s="114"/>
      <c r="AY25" s="114"/>
      <c r="AZ25" s="114"/>
      <c r="BA25" s="114"/>
      <c r="BB25" s="114"/>
      <c r="BC25" s="114"/>
      <c r="BD25" s="114"/>
      <c r="BE25" s="114"/>
      <c r="BF25" s="114"/>
      <c r="BG25" s="114"/>
      <c r="BH25" s="114"/>
      <c r="BI25" s="114"/>
      <c r="BJ25" s="114"/>
      <c r="BK25" s="114"/>
      <c r="BL25" s="114"/>
      <c r="BM25" s="114"/>
      <c r="BN25" s="114"/>
      <c r="BO25" s="115"/>
      <c r="BP25" s="18"/>
    </row>
    <row r="26" spans="1:72" ht="15">
      <c r="A26" s="30"/>
      <c r="B26" s="143" t="s">
        <v>20</v>
      </c>
      <c r="C26" s="143"/>
      <c r="D26" s="143"/>
      <c r="E26" s="143"/>
      <c r="F26" s="143"/>
      <c r="G26" s="143"/>
      <c r="H26" s="143" t="s">
        <v>38</v>
      </c>
      <c r="I26" s="143"/>
      <c r="J26" s="143"/>
      <c r="K26" s="143"/>
      <c r="L26" s="119" t="s">
        <v>26</v>
      </c>
      <c r="M26" s="120"/>
      <c r="N26" s="120"/>
      <c r="O26" s="120"/>
      <c r="P26" s="121"/>
      <c r="Q26" s="329"/>
      <c r="R26" s="330"/>
      <c r="S26" s="330"/>
      <c r="T26" s="330"/>
      <c r="U26" s="330"/>
      <c r="V26" s="330"/>
      <c r="W26" s="330"/>
      <c r="X26" s="330"/>
      <c r="Y26" s="330"/>
      <c r="Z26" s="330"/>
      <c r="AA26" s="330"/>
      <c r="AB26" s="330"/>
      <c r="AC26" s="330"/>
      <c r="AD26" s="330"/>
      <c r="AE26" s="330"/>
      <c r="AF26" s="330"/>
      <c r="AG26" s="331"/>
      <c r="AH26" s="30"/>
      <c r="AI26" s="17"/>
      <c r="AJ26" s="154" t="s">
        <v>20</v>
      </c>
      <c r="AK26" s="154"/>
      <c r="AL26" s="154"/>
      <c r="AM26" s="154"/>
      <c r="AN26" s="154"/>
      <c r="AO26" s="154"/>
      <c r="AP26" s="154" t="s">
        <v>38</v>
      </c>
      <c r="AQ26" s="154"/>
      <c r="AR26" s="154"/>
      <c r="AS26" s="154"/>
      <c r="AT26" s="119" t="s">
        <v>26</v>
      </c>
      <c r="AU26" s="120"/>
      <c r="AV26" s="120"/>
      <c r="AW26" s="120"/>
      <c r="AX26" s="121"/>
      <c r="AY26" s="155" t="s">
        <v>406</v>
      </c>
      <c r="AZ26" s="156"/>
      <c r="BA26" s="156"/>
      <c r="BB26" s="156"/>
      <c r="BC26" s="156"/>
      <c r="BD26" s="156"/>
      <c r="BE26" s="156"/>
      <c r="BF26" s="156"/>
      <c r="BG26" s="156"/>
      <c r="BH26" s="156"/>
      <c r="BI26" s="156"/>
      <c r="BJ26" s="156"/>
      <c r="BK26" s="156"/>
      <c r="BL26" s="156"/>
      <c r="BM26" s="156"/>
      <c r="BN26" s="156"/>
      <c r="BO26" s="157"/>
      <c r="BP26" s="18"/>
    </row>
    <row r="27" spans="1:72" ht="15">
      <c r="A27" s="30"/>
      <c r="B27" s="143"/>
      <c r="C27" s="143"/>
      <c r="D27" s="143"/>
      <c r="E27" s="143"/>
      <c r="F27" s="143"/>
      <c r="G27" s="143"/>
      <c r="H27" s="85" t="s">
        <v>39</v>
      </c>
      <c r="I27" s="85"/>
      <c r="J27" s="85"/>
      <c r="K27" s="85"/>
      <c r="L27" s="97" t="s">
        <v>405</v>
      </c>
      <c r="M27" s="98"/>
      <c r="N27" s="98"/>
      <c r="O27" s="98"/>
      <c r="P27" s="98"/>
      <c r="Q27" s="98"/>
      <c r="R27" s="98"/>
      <c r="S27" s="98"/>
      <c r="T27" s="98"/>
      <c r="U27" s="98"/>
      <c r="V27" s="98"/>
      <c r="W27" s="98"/>
      <c r="X27" s="98"/>
      <c r="Y27" s="98"/>
      <c r="Z27" s="98"/>
      <c r="AA27" s="98"/>
      <c r="AB27" s="98"/>
      <c r="AC27" s="98"/>
      <c r="AD27" s="98"/>
      <c r="AE27" s="98"/>
      <c r="AF27" s="98"/>
      <c r="AG27" s="99"/>
      <c r="AH27" s="30"/>
      <c r="AI27" s="17"/>
      <c r="AJ27" s="154"/>
      <c r="AK27" s="154"/>
      <c r="AL27" s="154"/>
      <c r="AM27" s="154"/>
      <c r="AN27" s="154"/>
      <c r="AO27" s="154"/>
      <c r="AP27" s="86" t="s">
        <v>39</v>
      </c>
      <c r="AQ27" s="86"/>
      <c r="AR27" s="86"/>
      <c r="AS27" s="86"/>
      <c r="AT27" s="97" t="s">
        <v>405</v>
      </c>
      <c r="AU27" s="98"/>
      <c r="AV27" s="98"/>
      <c r="AW27" s="98"/>
      <c r="AX27" s="98"/>
      <c r="AY27" s="98"/>
      <c r="AZ27" s="98"/>
      <c r="BA27" s="98"/>
      <c r="BB27" s="98"/>
      <c r="BC27" s="98"/>
      <c r="BD27" s="98"/>
      <c r="BE27" s="98"/>
      <c r="BF27" s="98"/>
      <c r="BG27" s="98"/>
      <c r="BH27" s="98"/>
      <c r="BI27" s="98"/>
      <c r="BJ27" s="98"/>
      <c r="BK27" s="98"/>
      <c r="BL27" s="98"/>
      <c r="BM27" s="98"/>
      <c r="BN27" s="98"/>
      <c r="BO27" s="99"/>
      <c r="BP27" s="18"/>
    </row>
    <row r="28" spans="1:72" ht="15">
      <c r="A28" s="30"/>
      <c r="B28" s="85" t="s">
        <v>330</v>
      </c>
      <c r="C28" s="85"/>
      <c r="D28" s="85"/>
      <c r="E28" s="85"/>
      <c r="F28" s="85"/>
      <c r="G28" s="85"/>
      <c r="H28" s="85"/>
      <c r="I28" s="85"/>
      <c r="J28" s="85"/>
      <c r="K28" s="85"/>
      <c r="L28" s="85" t="str">
        <f>IF(L21="(自動計算)","(自動表示)",IF(L21&lt;2000,"6.6",IF(L21&lt;10000,"22(33)",IF(L21&gt;=10000,"77"," "))))</f>
        <v>(自動表示)</v>
      </c>
      <c r="M28" s="85"/>
      <c r="N28" s="85"/>
      <c r="O28" s="85"/>
      <c r="P28" s="85"/>
      <c r="Q28" s="85"/>
      <c r="R28" s="85"/>
      <c r="S28" s="85"/>
      <c r="T28" s="85"/>
      <c r="U28" s="85"/>
      <c r="V28" s="85"/>
      <c r="W28" s="85"/>
      <c r="X28" s="85"/>
      <c r="Y28" s="85"/>
      <c r="Z28" s="85"/>
      <c r="AA28" s="85"/>
      <c r="AB28" s="85"/>
      <c r="AC28" s="85"/>
      <c r="AD28" s="85"/>
      <c r="AE28" s="85" t="s">
        <v>13</v>
      </c>
      <c r="AF28" s="85"/>
      <c r="AG28" s="85"/>
      <c r="AH28" s="30"/>
      <c r="AI28" s="17"/>
      <c r="AJ28" s="86" t="s">
        <v>52</v>
      </c>
      <c r="AK28" s="86"/>
      <c r="AL28" s="86"/>
      <c r="AM28" s="86"/>
      <c r="AN28" s="86"/>
      <c r="AO28" s="86"/>
      <c r="AP28" s="86"/>
      <c r="AQ28" s="86"/>
      <c r="AR28" s="86"/>
      <c r="AS28" s="86"/>
      <c r="AT28" s="85" t="str">
        <f>IF(AT21="(自動計算)","(自動表示)",IF(AT21&lt;2000,"6.6",IF(AT21&lt;10000,"22(33)",IF(AT21&gt;=10000,"77"," "))))</f>
        <v>77</v>
      </c>
      <c r="AU28" s="85"/>
      <c r="AV28" s="85"/>
      <c r="AW28" s="85"/>
      <c r="AX28" s="85"/>
      <c r="AY28" s="85"/>
      <c r="AZ28" s="85"/>
      <c r="BA28" s="85"/>
      <c r="BB28" s="85"/>
      <c r="BC28" s="85"/>
      <c r="BD28" s="85"/>
      <c r="BE28" s="85"/>
      <c r="BF28" s="85"/>
      <c r="BG28" s="85"/>
      <c r="BH28" s="85"/>
      <c r="BI28" s="85"/>
      <c r="BJ28" s="85"/>
      <c r="BK28" s="85"/>
      <c r="BL28" s="85"/>
      <c r="BM28" s="85" t="s">
        <v>13</v>
      </c>
      <c r="BN28" s="85"/>
      <c r="BO28" s="85"/>
      <c r="BP28" s="18"/>
      <c r="BT28">
        <f>IF(L28="",0,1)</f>
        <v>1</v>
      </c>
    </row>
    <row r="29" spans="1:72" ht="15">
      <c r="A29" s="30"/>
      <c r="B29" s="85"/>
      <c r="C29" s="85"/>
      <c r="D29" s="85"/>
      <c r="E29" s="85"/>
      <c r="F29" s="85"/>
      <c r="G29" s="85"/>
      <c r="H29" s="85"/>
      <c r="I29" s="85"/>
      <c r="J29" s="85"/>
      <c r="K29" s="85"/>
      <c r="L29" s="87" t="s">
        <v>331</v>
      </c>
      <c r="M29" s="88"/>
      <c r="N29" s="88"/>
      <c r="O29" s="88"/>
      <c r="P29" s="88"/>
      <c r="Q29" s="88"/>
      <c r="R29" s="33"/>
      <c r="S29" s="89"/>
      <c r="T29" s="90"/>
      <c r="U29" s="90"/>
      <c r="V29" s="90"/>
      <c r="W29" s="90"/>
      <c r="X29" s="90"/>
      <c r="Y29" s="90"/>
      <c r="Z29" s="90"/>
      <c r="AA29" s="90"/>
      <c r="AB29" s="90"/>
      <c r="AC29" s="90"/>
      <c r="AD29" s="91"/>
      <c r="AE29" s="85" t="s">
        <v>49</v>
      </c>
      <c r="AF29" s="85"/>
      <c r="AG29" s="85"/>
      <c r="AH29" s="30"/>
      <c r="AI29" s="17"/>
      <c r="AJ29" s="86"/>
      <c r="AK29" s="86"/>
      <c r="AL29" s="86"/>
      <c r="AM29" s="86"/>
      <c r="AN29" s="86"/>
      <c r="AO29" s="86"/>
      <c r="AP29" s="86"/>
      <c r="AQ29" s="86"/>
      <c r="AR29" s="86"/>
      <c r="AS29" s="86"/>
      <c r="AT29" s="92" t="s">
        <v>331</v>
      </c>
      <c r="AU29" s="93"/>
      <c r="AV29" s="93"/>
      <c r="AW29" s="93"/>
      <c r="AX29" s="93"/>
      <c r="AY29" s="93"/>
      <c r="AZ29" s="61"/>
      <c r="BA29" s="94">
        <v>275</v>
      </c>
      <c r="BB29" s="95"/>
      <c r="BC29" s="95"/>
      <c r="BD29" s="95"/>
      <c r="BE29" s="95"/>
      <c r="BF29" s="95"/>
      <c r="BG29" s="95"/>
      <c r="BH29" s="95"/>
      <c r="BI29" s="95"/>
      <c r="BJ29" s="95"/>
      <c r="BK29" s="95"/>
      <c r="BL29" s="96"/>
      <c r="BM29" s="85" t="s">
        <v>13</v>
      </c>
      <c r="BN29" s="85"/>
      <c r="BO29" s="85"/>
      <c r="BP29" s="18"/>
      <c r="BT29" s="35" t="b">
        <v>0</v>
      </c>
    </row>
    <row r="30" spans="1:72" ht="13.5" thickBo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20"/>
      <c r="AJ30" s="21"/>
      <c r="AK30" s="21"/>
      <c r="AL30" s="21"/>
      <c r="AM30" s="21"/>
      <c r="AN30" s="21"/>
      <c r="AO30" s="21"/>
      <c r="AP30" s="21"/>
      <c r="AQ30" s="21"/>
      <c r="AR30" s="21"/>
      <c r="AS30" s="21"/>
      <c r="AT30" s="62"/>
      <c r="AU30" s="62"/>
      <c r="AV30" s="62"/>
      <c r="AW30" s="62"/>
      <c r="AX30" s="62"/>
      <c r="AY30" s="62"/>
      <c r="AZ30" s="62"/>
      <c r="BA30" s="62"/>
      <c r="BB30" s="62"/>
      <c r="BC30" s="62"/>
      <c r="BD30" s="62"/>
      <c r="BE30" s="62"/>
      <c r="BF30" s="62"/>
      <c r="BG30" s="62"/>
      <c r="BH30" s="62"/>
      <c r="BI30" s="62"/>
      <c r="BJ30" s="62"/>
      <c r="BK30" s="62"/>
      <c r="BL30" s="62"/>
      <c r="BM30" s="62"/>
      <c r="BN30" s="62"/>
      <c r="BO30" s="62"/>
      <c r="BP30" s="22"/>
    </row>
    <row r="32" spans="1:72">
      <c r="U32" s="12"/>
      <c r="V32" s="12"/>
    </row>
    <row r="33" spans="41:41">
      <c r="AO33" s="34"/>
    </row>
  </sheetData>
  <sheetProtection algorithmName="SHA-512" hashValue="8N+GTOdcVzDY858KAu+eIg83JsSvspgS7OalETBibqikvl3lbIpPrF1rVYrKCpEAzPRUSoRcBisH1J1gmWBNvA==" saltValue="nshBp3Xmwel1pgtivE8p3g==" spinCount="100000" sheet="1" formatCells="0" selectLockedCells="1"/>
  <mergeCells count="117">
    <mergeCell ref="B20:K20"/>
    <mergeCell ref="L20:AD20"/>
    <mergeCell ref="AE20:AG20"/>
    <mergeCell ref="B19:K19"/>
    <mergeCell ref="B24:K25"/>
    <mergeCell ref="B21:K21"/>
    <mergeCell ref="B23:K23"/>
    <mergeCell ref="AJ7:AS7"/>
    <mergeCell ref="AT7:BO7"/>
    <mergeCell ref="AJ8:AS8"/>
    <mergeCell ref="AT8:BO8"/>
    <mergeCell ref="B9:K9"/>
    <mergeCell ref="L9:AG9"/>
    <mergeCell ref="B7:K7"/>
    <mergeCell ref="B8:K8"/>
    <mergeCell ref="L8:AG8"/>
    <mergeCell ref="L7:AG7"/>
    <mergeCell ref="AJ9:AS9"/>
    <mergeCell ref="L16:Q16"/>
    <mergeCell ref="R16:W16"/>
    <mergeCell ref="X15:AG16"/>
    <mergeCell ref="AT9:BO9"/>
    <mergeCell ref="B10:K10"/>
    <mergeCell ref="L10:AG10"/>
    <mergeCell ref="AJ10:AS10"/>
    <mergeCell ref="AT10:BO10"/>
    <mergeCell ref="B18:K18"/>
    <mergeCell ref="L14:P14"/>
    <mergeCell ref="B17:K17"/>
    <mergeCell ref="L17:O17"/>
    <mergeCell ref="P17:AG17"/>
    <mergeCell ref="L13:P13"/>
    <mergeCell ref="Q13:W13"/>
    <mergeCell ref="X13:AG13"/>
    <mergeCell ref="B12:K12"/>
    <mergeCell ref="B13:K14"/>
    <mergeCell ref="B15:K16"/>
    <mergeCell ref="L15:Q15"/>
    <mergeCell ref="R15:W15"/>
    <mergeCell ref="AJ12:AS12"/>
    <mergeCell ref="AJ13:AS14"/>
    <mergeCell ref="AT13:AX13"/>
    <mergeCell ref="AY13:BE13"/>
    <mergeCell ref="BF13:BO13"/>
    <mergeCell ref="AJ15:AS16"/>
    <mergeCell ref="AT15:AY15"/>
    <mergeCell ref="AZ15:BE15"/>
    <mergeCell ref="AT16:AY16"/>
    <mergeCell ref="AT19:BL19"/>
    <mergeCell ref="BM19:BO19"/>
    <mergeCell ref="AJ19:AS19"/>
    <mergeCell ref="L24:AG25"/>
    <mergeCell ref="AJ21:AS21"/>
    <mergeCell ref="AJ23:AS23"/>
    <mergeCell ref="BM21:BO21"/>
    <mergeCell ref="AJ24:AS25"/>
    <mergeCell ref="AT20:BL20"/>
    <mergeCell ref="Q14:W14"/>
    <mergeCell ref="X14:AG14"/>
    <mergeCell ref="AJ18:AS18"/>
    <mergeCell ref="AT18:BO18"/>
    <mergeCell ref="B26:G27"/>
    <mergeCell ref="H26:K26"/>
    <mergeCell ref="H27:K27"/>
    <mergeCell ref="L26:P26"/>
    <mergeCell ref="L27:AG27"/>
    <mergeCell ref="BM20:BO20"/>
    <mergeCell ref="AJ20:AS20"/>
    <mergeCell ref="L18:AG18"/>
    <mergeCell ref="AT14:AX14"/>
    <mergeCell ref="AJ26:AO27"/>
    <mergeCell ref="AP26:AS26"/>
    <mergeCell ref="AT26:AX26"/>
    <mergeCell ref="AY26:BO26"/>
    <mergeCell ref="AT17:AW17"/>
    <mergeCell ref="AX17:BO17"/>
    <mergeCell ref="AJ17:AS17"/>
    <mergeCell ref="L19:AD19"/>
    <mergeCell ref="AE19:AG19"/>
    <mergeCell ref="AZ16:BE16"/>
    <mergeCell ref="BF15:BO16"/>
    <mergeCell ref="AT27:BO27"/>
    <mergeCell ref="Q26:AG26"/>
    <mergeCell ref="AL1:BM1"/>
    <mergeCell ref="B2:K2"/>
    <mergeCell ref="L2:AG2"/>
    <mergeCell ref="AJ2:AS2"/>
    <mergeCell ref="AT2:BO2"/>
    <mergeCell ref="B5:K5"/>
    <mergeCell ref="L5:AG5"/>
    <mergeCell ref="AJ5:AS5"/>
    <mergeCell ref="AT5:BO5"/>
    <mergeCell ref="AT24:BO25"/>
    <mergeCell ref="L21:AD21"/>
    <mergeCell ref="AE21:AG21"/>
    <mergeCell ref="AT21:BL21"/>
    <mergeCell ref="AP27:AS27"/>
    <mergeCell ref="B4:K4"/>
    <mergeCell ref="AJ4:AS4"/>
    <mergeCell ref="B6:K6"/>
    <mergeCell ref="AJ6:AS6"/>
    <mergeCell ref="AT6:BO6"/>
    <mergeCell ref="L6:AG6"/>
    <mergeCell ref="AY14:BE14"/>
    <mergeCell ref="BF14:BO14"/>
    <mergeCell ref="AT28:BL28"/>
    <mergeCell ref="BM28:BO28"/>
    <mergeCell ref="BM29:BO29"/>
    <mergeCell ref="L28:AD28"/>
    <mergeCell ref="AE28:AG28"/>
    <mergeCell ref="B28:K29"/>
    <mergeCell ref="AE29:AG29"/>
    <mergeCell ref="AJ28:AS29"/>
    <mergeCell ref="L29:Q29"/>
    <mergeCell ref="S29:AD29"/>
    <mergeCell ref="AT29:AY29"/>
    <mergeCell ref="BA29:BL29"/>
  </mergeCells>
  <phoneticPr fontId="2"/>
  <conditionalFormatting sqref="S29 AE29">
    <cfRule type="expression" dxfId="4" priority="17">
      <formula>AND($BT$29=FALSE,$S$29="")</formula>
    </cfRule>
  </conditionalFormatting>
  <conditionalFormatting sqref="L17">
    <cfRule type="containsBlanks" dxfId="3" priority="8">
      <formula>LEN(TRIM(L17))=0</formula>
    </cfRule>
  </conditionalFormatting>
  <conditionalFormatting sqref="AT17">
    <cfRule type="containsBlanks" dxfId="2" priority="7">
      <formula>LEN(TRIM(AT17))=0</formula>
    </cfRule>
  </conditionalFormatting>
  <conditionalFormatting sqref="L2 L5:AG9 L14:AG14 L18:AG19 L24:AG25 L16 R16">
    <cfRule type="containsBlanks" dxfId="1" priority="6">
      <formula>LEN(TRIM(L2))=0</formula>
    </cfRule>
  </conditionalFormatting>
  <conditionalFormatting sqref="S29:AD29">
    <cfRule type="expression" dxfId="0" priority="4">
      <formula>AND($BT$29=TRUE,$S$29="")</formula>
    </cfRule>
  </conditionalFormatting>
  <dataValidations count="5">
    <dataValidation type="list" allowBlank="1" showInputMessage="1" showErrorMessage="1" sqref="AT14:AX14" xr:uid="{00000000-0002-0000-0000-000000000000}">
      <formula1>"大阪府,京都府,兵庫県,滋賀県,奈良県,和歌山県,福井県,岐阜県,三重県,富山県,長野県"</formula1>
    </dataValidation>
    <dataValidation type="list" allowBlank="1" showInputMessage="1" showErrorMessage="1" sqref="L18:AG18 AT18:BO18" xr:uid="{00000000-0002-0000-0000-000001000000}">
      <formula1>"火力,一般水力,揚水,原子力,太陽光,風力,蓄電池,地熱,ﾊﾞｲｵﾏｽ,その他"</formula1>
    </dataValidation>
    <dataValidation type="list" allowBlank="1" showInputMessage="1" showErrorMessage="1" sqref="L24:AG25 AT24:BO25" xr:uid="{00000000-0002-0000-0000-000002000000}">
      <formula1>"関西電力送配電株式会社,配電事業者"</formula1>
    </dataValidation>
    <dataValidation type="list" allowBlank="1" showInputMessage="1" showErrorMessage="1" sqref="Q14 AY14" xr:uid="{00000000-0002-0000-0000-000003000000}">
      <formula1>INDIRECT(L14)</formula1>
    </dataValidation>
    <dataValidation type="list" allowBlank="1" showInputMessage="1" showErrorMessage="1" sqref="L14:P14" xr:uid="{00000000-0002-0000-0000-000004000000}">
      <formula1>"大阪府,京都府,兵庫県,滋賀県,奈良県,和歌山県,福井県,岐阜県,三重県,富山県,長野県,愛知県,石川県"</formula1>
    </dataValidation>
  </dataValidations>
  <hyperlinks>
    <hyperlink ref="P17:AG17" location="申込書!A1" display="&quot;要&quot;の場合は「申込書」シートへ位置図貼付けをお願いします。" xr:uid="{00000000-0004-0000-0000-000000000000}"/>
    <hyperlink ref="AX17:BO17" location="'申込書 (案)'!A1" display="&quot;要&quot;の場合は申込書（案）シートへ位置図貼付けをお願いします。" xr:uid="{00000000-0004-0000-0000-000001000000}"/>
    <hyperlink ref="X15:AG16" location="緯度経度取得方法の例!A1" display="緯度経度取得方法はこちら" xr:uid="{00000000-0004-0000-0000-000002000000}"/>
    <hyperlink ref="BF15:BO16" location="'緯度経度取得方法の例 (2)'!A1" display="緯度経度取得方法はこちら" xr:uid="{00000000-0004-0000-0000-000003000000}"/>
  </hyperlinks>
  <pageMargins left="0.7" right="0.7" top="0.75" bottom="0.75" header="0.3" footer="0.3"/>
  <pageSetup paperSize="9" scale="5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59" r:id="rId4" name="Check Box 15">
              <controlPr defaultSize="0" autoFill="0" autoLine="0" autoPict="0">
                <anchor moveWithCells="1">
                  <from>
                    <xdr:col>16</xdr:col>
                    <xdr:colOff>152400</xdr:colOff>
                    <xdr:row>27</xdr:row>
                    <xdr:rowOff>177800</xdr:rowOff>
                  </from>
                  <to>
                    <xdr:col>17</xdr:col>
                    <xdr:colOff>152400</xdr:colOff>
                    <xdr:row>29</xdr:row>
                    <xdr:rowOff>25400</xdr:rowOff>
                  </to>
                </anchor>
              </controlPr>
            </control>
          </mc:Choice>
        </mc:AlternateContent>
        <mc:AlternateContent xmlns:mc="http://schemas.openxmlformats.org/markup-compatibility/2006">
          <mc:Choice Requires="x14">
            <control shapeId="6170" r:id="rId5" name="Check Box 26">
              <controlPr defaultSize="0" autoFill="0" autoLine="0" autoPict="0">
                <anchor moveWithCells="1">
                  <from>
                    <xdr:col>50</xdr:col>
                    <xdr:colOff>177800</xdr:colOff>
                    <xdr:row>27</xdr:row>
                    <xdr:rowOff>184150</xdr:rowOff>
                  </from>
                  <to>
                    <xdr:col>52</xdr:col>
                    <xdr:colOff>152400</xdr:colOff>
                    <xdr:row>29</xdr:row>
                    <xdr:rowOff>25400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5000000}">
          <x14:formula1>
            <xm:f>入力F_設定!$F$2:$F$7</xm:f>
          </x14:formula1>
          <xm:sqref>S29 BA29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92D050"/>
  </sheetPr>
  <dimension ref="A1:DP25"/>
  <sheetViews>
    <sheetView showGridLines="0" view="pageBreakPreview" zoomScale="85" zoomScaleNormal="90" zoomScaleSheetLayoutView="85" workbookViewId="0">
      <selection activeCell="B21" sqref="B21:L21"/>
    </sheetView>
  </sheetViews>
  <sheetFormatPr defaultRowHeight="13"/>
  <cols>
    <col min="1" max="1" width="1.6328125" customWidth="1"/>
    <col min="2" max="2" width="18.6328125" customWidth="1"/>
    <col min="3" max="3" width="10.6328125" customWidth="1"/>
    <col min="4" max="4" width="4.08984375" customWidth="1"/>
    <col min="5" max="5" width="15.6328125" customWidth="1"/>
    <col min="6" max="6" width="10.6328125" customWidth="1"/>
    <col min="7" max="7" width="4" customWidth="1"/>
    <col min="8" max="8" width="6.6328125" customWidth="1"/>
    <col min="9" max="9" width="1.1796875" customWidth="1"/>
    <col min="10" max="10" width="3.453125" customWidth="1"/>
    <col min="11" max="11" width="7.81640625" customWidth="1"/>
    <col min="12" max="12" width="4.08984375" customWidth="1"/>
    <col min="13" max="140" width="1.6328125" customWidth="1"/>
  </cols>
  <sheetData>
    <row r="1" spans="1:120" ht="16.5">
      <c r="A1" s="260" t="s">
        <v>15</v>
      </c>
      <c r="B1" s="260"/>
      <c r="C1" s="260"/>
      <c r="D1" s="260"/>
      <c r="E1" s="260"/>
      <c r="F1" s="260"/>
      <c r="G1" s="260"/>
      <c r="H1" s="260"/>
      <c r="I1" s="260"/>
      <c r="J1" s="260"/>
      <c r="K1" s="260"/>
      <c r="L1" s="260"/>
      <c r="BN1" s="8" t="s">
        <v>22</v>
      </c>
      <c r="DP1" s="8" t="s">
        <v>23</v>
      </c>
    </row>
    <row r="2" spans="1:120">
      <c r="G2" s="261" t="s">
        <v>386</v>
      </c>
      <c r="H2" s="261"/>
      <c r="I2" s="261"/>
      <c r="J2" s="261"/>
      <c r="K2" s="261"/>
      <c r="L2" s="261"/>
      <c r="N2" t="s">
        <v>337</v>
      </c>
      <c r="AK2" s="7"/>
    </row>
    <row r="3" spans="1:120" ht="15" customHeight="1">
      <c r="F3" s="3" t="s">
        <v>16</v>
      </c>
      <c r="G3" s="262" t="str">
        <f>IF(入力フォーム!L2="","",入力フォーム!L2)</f>
        <v/>
      </c>
      <c r="H3" s="262"/>
      <c r="I3" s="262"/>
      <c r="J3" s="262"/>
      <c r="K3" s="262"/>
      <c r="L3" s="262"/>
    </row>
    <row r="4" spans="1:120" ht="8.15" customHeight="1">
      <c r="F4" s="1"/>
      <c r="G4" s="2"/>
      <c r="H4" s="2"/>
      <c r="I4" s="2"/>
      <c r="J4" s="2"/>
      <c r="K4" s="2"/>
      <c r="L4" s="2"/>
    </row>
    <row r="5" spans="1:120">
      <c r="B5" s="257" t="s">
        <v>27</v>
      </c>
      <c r="C5" s="263"/>
      <c r="D5" s="263"/>
      <c r="E5" s="11" t="s">
        <v>17</v>
      </c>
      <c r="O5" s="257" t="s">
        <v>51</v>
      </c>
      <c r="P5" s="257"/>
      <c r="Q5" s="257"/>
      <c r="R5" s="257"/>
      <c r="S5" s="257"/>
      <c r="T5" s="257"/>
      <c r="U5" s="257"/>
      <c r="V5" s="257"/>
      <c r="W5" s="257"/>
      <c r="X5" s="257"/>
      <c r="Y5" s="257"/>
      <c r="Z5" s="257"/>
      <c r="AA5" s="257"/>
      <c r="AB5" s="257"/>
      <c r="AC5" s="257"/>
      <c r="AD5" s="257"/>
      <c r="AE5" s="257"/>
      <c r="AF5" s="257"/>
      <c r="AG5" s="257"/>
      <c r="AH5" s="264" t="s">
        <v>384</v>
      </c>
      <c r="AI5" s="264"/>
      <c r="AJ5" s="264"/>
      <c r="AK5" s="264"/>
      <c r="AL5" s="265" t="str">
        <f>IF(入力フォーム!L16="","",入力フォーム!L16)</f>
        <v/>
      </c>
      <c r="AM5" s="265"/>
      <c r="AN5" s="265"/>
      <c r="AO5" s="265"/>
      <c r="AP5" s="265"/>
      <c r="AQ5" s="265"/>
      <c r="AR5" s="265"/>
      <c r="AS5" s="265"/>
      <c r="AT5" s="64"/>
      <c r="AU5" s="258" t="s">
        <v>385</v>
      </c>
      <c r="AV5" s="258"/>
      <c r="AW5" s="258"/>
      <c r="AX5" s="258"/>
      <c r="AY5" s="259" t="str">
        <f>IF(入力フォーム!R16="","",入力フォーム!R16)</f>
        <v/>
      </c>
      <c r="AZ5" s="259"/>
      <c r="BA5" s="259"/>
      <c r="BB5" s="259"/>
      <c r="BC5" s="259"/>
      <c r="BD5" s="259"/>
      <c r="BE5" s="259"/>
      <c r="BF5" s="259"/>
      <c r="BG5" s="63"/>
      <c r="BH5" s="63"/>
    </row>
    <row r="7" spans="1:120" ht="15" customHeight="1">
      <c r="B7" s="9" t="s">
        <v>14</v>
      </c>
      <c r="P7" s="7" t="s">
        <v>21</v>
      </c>
    </row>
    <row r="8" spans="1:120" ht="26.15" customHeight="1">
      <c r="B8" s="266" t="s">
        <v>0</v>
      </c>
      <c r="C8" s="268" t="s">
        <v>1</v>
      </c>
      <c r="D8" s="269"/>
      <c r="E8" s="270" t="str">
        <f>IF(入力フォーム!L5="","",入力フォーム!L5)</f>
        <v/>
      </c>
      <c r="F8" s="270"/>
      <c r="G8" s="270"/>
      <c r="H8" s="270"/>
      <c r="I8" s="270"/>
      <c r="J8" s="270"/>
      <c r="K8" s="270"/>
      <c r="L8" s="271"/>
    </row>
    <row r="9" spans="1:120" ht="26.15" customHeight="1">
      <c r="B9" s="267"/>
      <c r="C9" s="272" t="s">
        <v>2</v>
      </c>
      <c r="D9" s="273"/>
      <c r="E9" s="270" t="str">
        <f>IF(入力フォーム!L6="","",入力フォーム!L6)</f>
        <v/>
      </c>
      <c r="F9" s="270"/>
      <c r="G9" s="270"/>
      <c r="H9" s="270"/>
      <c r="I9" s="270"/>
      <c r="J9" s="270"/>
      <c r="K9" s="270"/>
      <c r="L9" s="271"/>
    </row>
    <row r="10" spans="1:120" ht="26.15" customHeight="1">
      <c r="B10" s="267"/>
      <c r="C10" s="272" t="s">
        <v>3</v>
      </c>
      <c r="D10" s="273"/>
      <c r="E10" s="287" t="str">
        <f>IF(入力フォーム!L7="","",入力フォーム!L7)</f>
        <v/>
      </c>
      <c r="F10" s="288"/>
      <c r="G10" s="290" t="s">
        <v>5</v>
      </c>
      <c r="H10" s="279"/>
      <c r="I10" s="293" t="str">
        <f>IF(入力フォーム!L9="","",入力フォーム!L9)</f>
        <v/>
      </c>
      <c r="J10" s="294"/>
      <c r="K10" s="294"/>
      <c r="L10" s="295"/>
    </row>
    <row r="11" spans="1:120" ht="26.15" customHeight="1">
      <c r="B11" s="267"/>
      <c r="C11" s="274" t="s">
        <v>4</v>
      </c>
      <c r="D11" s="275"/>
      <c r="E11" s="276" t="str">
        <f>IF(入力フォーム!L8="","",入力フォーム!L8)</f>
        <v/>
      </c>
      <c r="F11" s="277"/>
      <c r="G11" s="291" t="s">
        <v>6</v>
      </c>
      <c r="H11" s="292"/>
      <c r="I11" s="293" t="str">
        <f>IF(入力フォーム!L10="","",入力フォーム!L10)</f>
        <v/>
      </c>
      <c r="J11" s="294"/>
      <c r="K11" s="294"/>
      <c r="L11" s="295"/>
    </row>
    <row r="12" spans="1:120" ht="26.15" customHeight="1">
      <c r="B12" s="4" t="s">
        <v>7</v>
      </c>
      <c r="C12" s="24" t="str">
        <f>IF(入力フォーム!L14="","",入力フォーム!L14)</f>
        <v/>
      </c>
      <c r="D12" s="306" t="str">
        <f>IF(入力フォーム!Q14="","",入力フォーム!Q14)</f>
        <v/>
      </c>
      <c r="E12" s="306"/>
      <c r="F12" s="307" t="str">
        <f>IF(入力フォーム!X14="","",入力フォーム!X14)</f>
        <v/>
      </c>
      <c r="G12" s="307"/>
      <c r="H12" s="307"/>
      <c r="I12" s="307"/>
      <c r="J12" s="307"/>
      <c r="K12" s="307"/>
      <c r="L12" s="308"/>
    </row>
    <row r="13" spans="1:120" ht="26.15" customHeight="1">
      <c r="B13" s="39" t="s">
        <v>8</v>
      </c>
      <c r="C13" s="309" t="str">
        <f>IF(入力フォーム!L18="","",入力フォーム!L18)</f>
        <v/>
      </c>
      <c r="D13" s="307"/>
      <c r="E13" s="278" t="s">
        <v>25</v>
      </c>
      <c r="F13" s="279"/>
      <c r="G13" s="280" t="str">
        <f>IF(入力フォーム!L24="","",入力フォーム!L24)</f>
        <v/>
      </c>
      <c r="H13" s="281"/>
      <c r="I13" s="281"/>
      <c r="J13" s="281"/>
      <c r="K13" s="281"/>
      <c r="L13" s="282"/>
    </row>
    <row r="14" spans="1:120" ht="25.5" customHeight="1">
      <c r="B14" s="37" t="s">
        <v>9</v>
      </c>
      <c r="C14" s="25" t="str">
        <f>IF(入力フォーム!L19="","",入力フォーム!L19)</f>
        <v/>
      </c>
      <c r="D14" s="26" t="s">
        <v>10</v>
      </c>
      <c r="E14" s="283" t="s">
        <v>388</v>
      </c>
      <c r="F14" s="27" t="s">
        <v>11</v>
      </c>
      <c r="G14" s="290" t="s">
        <v>26</v>
      </c>
      <c r="H14" s="279"/>
      <c r="I14" s="296" t="str">
        <f>IF(入力フォーム!Q26="","-",入力フォーム!Q26)</f>
        <v>-</v>
      </c>
      <c r="J14" s="296"/>
      <c r="K14" s="296"/>
      <c r="L14" s="297"/>
      <c r="T14" s="23"/>
    </row>
    <row r="15" spans="1:120" ht="26.15" customHeight="1">
      <c r="B15" s="40" t="s">
        <v>389</v>
      </c>
      <c r="C15" s="28" t="str">
        <f>IF(入力フォーム!L21="","",入力フォーム!L21)</f>
        <v>(自動計算)</v>
      </c>
      <c r="D15" s="29" t="s">
        <v>10</v>
      </c>
      <c r="E15" s="284"/>
      <c r="F15" s="36" t="s">
        <v>12</v>
      </c>
      <c r="G15" s="285" t="str">
        <f>IF(入力フォーム!L27="","-",入力フォーム!L27)</f>
        <v>-</v>
      </c>
      <c r="H15" s="285"/>
      <c r="I15" s="285"/>
      <c r="J15" s="285"/>
      <c r="K15" s="285"/>
      <c r="L15" s="286"/>
      <c r="S15" s="23"/>
    </row>
    <row r="16" spans="1:120" ht="26.15" customHeight="1">
      <c r="B16" s="300"/>
      <c r="C16" s="301"/>
      <c r="D16" s="302"/>
      <c r="E16" s="272" t="s">
        <v>390</v>
      </c>
      <c r="F16" s="273"/>
      <c r="G16" s="298" t="str">
        <f>IF(入力フォーム!S29="",入力フォーム!L28,入力フォーム!S29)</f>
        <v>(自動表示)</v>
      </c>
      <c r="H16" s="299"/>
      <c r="I16" s="299"/>
      <c r="J16" s="299"/>
      <c r="K16" s="299"/>
      <c r="L16" s="38" t="s">
        <v>13</v>
      </c>
    </row>
    <row r="17" spans="2:23" ht="5" customHeight="1"/>
    <row r="18" spans="2:23" ht="47.25" customHeight="1">
      <c r="B18" s="303" t="s">
        <v>387</v>
      </c>
      <c r="C18" s="303"/>
      <c r="D18" s="303"/>
      <c r="E18" s="303"/>
      <c r="F18" s="303"/>
      <c r="G18" s="303"/>
      <c r="H18" s="303"/>
      <c r="I18" s="303"/>
      <c r="J18" s="303"/>
      <c r="K18" s="303"/>
      <c r="L18" s="303"/>
    </row>
    <row r="19" spans="2:23" ht="23.25" customHeight="1">
      <c r="B19" s="10" t="s">
        <v>24</v>
      </c>
    </row>
    <row r="20" spans="2:23" ht="5" customHeight="1"/>
    <row r="21" spans="2:23">
      <c r="B21" s="304" t="s">
        <v>336</v>
      </c>
      <c r="C21" s="304"/>
      <c r="D21" s="304"/>
      <c r="E21" s="304"/>
      <c r="F21" s="304"/>
      <c r="G21" s="304"/>
      <c r="H21" s="304"/>
      <c r="I21" s="304"/>
      <c r="J21" s="304"/>
      <c r="K21" s="304"/>
      <c r="L21" s="304"/>
    </row>
    <row r="22" spans="2:23" ht="8.15" customHeight="1"/>
    <row r="23" spans="2:23" ht="319.5" customHeight="1">
      <c r="B23" s="305" t="s">
        <v>391</v>
      </c>
      <c r="C23" s="305"/>
      <c r="D23" s="305"/>
      <c r="E23" s="305"/>
      <c r="F23" s="305"/>
      <c r="G23" s="305"/>
      <c r="H23" s="305"/>
      <c r="I23" s="305"/>
      <c r="J23" s="305"/>
      <c r="K23" s="305"/>
      <c r="L23" s="305"/>
      <c r="W23" s="5"/>
    </row>
    <row r="24" spans="2:23" s="5" customFormat="1" ht="12.5">
      <c r="L24" s="6" t="s">
        <v>18</v>
      </c>
    </row>
    <row r="25" spans="2:23" s="5" customFormat="1" ht="12.5">
      <c r="B25" s="289" t="s">
        <v>19</v>
      </c>
      <c r="C25" s="289"/>
      <c r="D25" s="289"/>
      <c r="E25" s="289"/>
      <c r="F25" s="289"/>
      <c r="G25" s="289"/>
      <c r="H25" s="289"/>
      <c r="I25" s="289"/>
      <c r="J25" s="289"/>
      <c r="K25" s="289"/>
      <c r="L25" s="289"/>
    </row>
  </sheetData>
  <sheetProtection algorithmName="SHA-512" hashValue="PIofU479xZ2jJXNP/j7aFrB+4JkRMBwgqeLc9Io9EcRxPKS80J6hpdttW1/C5adFryUcX+nwRLpnSwrsIGxi7A==" saltValue="LDmo2WJCQzXa1ME9RaHEpQ==" spinCount="100000" sheet="1" objects="1" scenarios="1" selectLockedCells="1"/>
  <mergeCells count="38">
    <mergeCell ref="B25:L25"/>
    <mergeCell ref="G10:H10"/>
    <mergeCell ref="G11:H11"/>
    <mergeCell ref="I10:L10"/>
    <mergeCell ref="I11:L11"/>
    <mergeCell ref="G14:H14"/>
    <mergeCell ref="I14:L14"/>
    <mergeCell ref="G16:K16"/>
    <mergeCell ref="B16:D16"/>
    <mergeCell ref="E16:F16"/>
    <mergeCell ref="B18:L18"/>
    <mergeCell ref="B21:L21"/>
    <mergeCell ref="B23:L23"/>
    <mergeCell ref="D12:E12"/>
    <mergeCell ref="F12:L12"/>
    <mergeCell ref="C13:D13"/>
    <mergeCell ref="E13:F13"/>
    <mergeCell ref="G13:L13"/>
    <mergeCell ref="E14:E15"/>
    <mergeCell ref="G15:L15"/>
    <mergeCell ref="E10:F10"/>
    <mergeCell ref="B8:B11"/>
    <mergeCell ref="C8:D8"/>
    <mergeCell ref="E8:L8"/>
    <mergeCell ref="C9:D9"/>
    <mergeCell ref="E9:L9"/>
    <mergeCell ref="C10:D10"/>
    <mergeCell ref="C11:D11"/>
    <mergeCell ref="E11:F11"/>
    <mergeCell ref="O5:AG5"/>
    <mergeCell ref="AU5:AX5"/>
    <mergeCell ref="AY5:BF5"/>
    <mergeCell ref="A1:L1"/>
    <mergeCell ref="G2:L2"/>
    <mergeCell ref="G3:L3"/>
    <mergeCell ref="B5:D5"/>
    <mergeCell ref="AH5:AK5"/>
    <mergeCell ref="AL5:AS5"/>
  </mergeCells>
  <phoneticPr fontId="2"/>
  <dataValidations count="3">
    <dataValidation allowBlank="1" showErrorMessage="1" prompt="買取先を選択する項目ではございませんので、_x000a_ご注意ください。" sqref="G15:L15" xr:uid="{00000000-0002-0000-0100-000000000000}"/>
    <dataValidation errorStyle="warning" operator="lessThan" allowBlank="1" error="最大受電電力が2,000ｋＷ以上となる場合は、原則、特別高圧での連系となります。" prompt="最大受電電力が2,000ｋＷ以上となる場合は、原則、特別高圧での連系となりますので、特別高圧の担当窓口へお申込みください。" sqref="C15" xr:uid="{00000000-0002-0000-0100-000001000000}"/>
    <dataValidation allowBlank="1" showInputMessage="1" sqref="C13:D13" xr:uid="{00000000-0002-0000-0100-000002000000}"/>
  </dataValidations>
  <pageMargins left="0.70866141732283472" right="0.70866141732283472" top="0.55118110236220474" bottom="0.35433070866141736" header="0.31496062992125984" footer="0.31496062992125984"/>
  <pageSetup paperSize="9" scale="96" orientation="portrait" r:id="rId1"/>
  <colBreaks count="2" manualBreakCount="2">
    <brk id="12" max="25" man="1"/>
    <brk id="66" max="2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AK27"/>
  <sheetViews>
    <sheetView showGridLines="0" view="pageBreakPreview" zoomScale="115" zoomScaleNormal="115" zoomScaleSheetLayoutView="115" workbookViewId="0">
      <selection activeCell="H21" sqref="H21"/>
    </sheetView>
  </sheetViews>
  <sheetFormatPr defaultColWidth="9" defaultRowHeight="15"/>
  <cols>
    <col min="1" max="1" width="3.81640625" style="13" customWidth="1"/>
    <col min="2" max="33" width="3.6328125" style="13" customWidth="1"/>
    <col min="34" max="35" width="3.81640625" style="13" customWidth="1"/>
    <col min="36" max="37" width="3.81640625" style="13" hidden="1" customWidth="1"/>
    <col min="38" max="38" width="3.81640625" style="13" customWidth="1"/>
    <col min="39" max="16384" width="9" style="13"/>
  </cols>
  <sheetData>
    <row r="1" spans="1:37" ht="9.75" customHeight="1"/>
    <row r="2" spans="1:37" ht="19.5">
      <c r="A2" s="48" t="s">
        <v>349</v>
      </c>
    </row>
    <row r="3" spans="1:37" ht="17.25" customHeight="1">
      <c r="A3" s="68" t="s">
        <v>393</v>
      </c>
    </row>
    <row r="4" spans="1:37" ht="12.75" customHeight="1">
      <c r="A4" s="67"/>
      <c r="S4" s="46"/>
    </row>
    <row r="5" spans="1:37" ht="15.75" customHeight="1">
      <c r="A5" s="49" t="s">
        <v>344</v>
      </c>
    </row>
    <row r="6" spans="1:37" ht="15.75" customHeight="1">
      <c r="A6" s="312" t="s">
        <v>346</v>
      </c>
      <c r="B6" s="312"/>
      <c r="C6" s="312"/>
      <c r="D6" s="312"/>
      <c r="E6" s="312"/>
      <c r="F6" s="312"/>
      <c r="G6" s="312"/>
      <c r="H6" s="312"/>
      <c r="I6" s="312"/>
      <c r="J6" s="312"/>
      <c r="K6" s="47" t="s">
        <v>345</v>
      </c>
      <c r="L6" s="46"/>
      <c r="M6" s="46"/>
      <c r="N6" s="46"/>
      <c r="O6" s="46"/>
      <c r="P6" s="46"/>
      <c r="Q6" s="46"/>
      <c r="R6" s="46"/>
      <c r="S6" s="46"/>
    </row>
    <row r="7" spans="1:37" ht="15.75" customHeight="1">
      <c r="A7" s="65" t="s">
        <v>347</v>
      </c>
      <c r="B7" s="65"/>
      <c r="C7" s="65"/>
      <c r="D7" s="65"/>
      <c r="E7" s="65"/>
      <c r="F7" s="65"/>
      <c r="G7" s="65"/>
      <c r="H7" s="65"/>
      <c r="I7" s="65"/>
      <c r="J7" s="69"/>
      <c r="K7" s="47" t="s">
        <v>345</v>
      </c>
      <c r="L7" s="46"/>
      <c r="M7" s="46"/>
      <c r="N7" s="46"/>
      <c r="O7" s="46"/>
      <c r="P7" s="46"/>
      <c r="Q7" s="46"/>
      <c r="R7" s="46"/>
      <c r="S7" s="46"/>
    </row>
    <row r="8" spans="1:37" ht="15.75" customHeight="1">
      <c r="A8" s="46"/>
      <c r="B8" s="46"/>
      <c r="C8" s="46"/>
      <c r="D8" s="46"/>
      <c r="E8" s="46"/>
      <c r="F8" s="46"/>
      <c r="G8" s="46"/>
      <c r="H8" s="46"/>
      <c r="I8" s="46"/>
      <c r="J8" s="46"/>
      <c r="K8" s="46"/>
      <c r="L8" s="46"/>
      <c r="M8" s="46"/>
      <c r="N8" s="46"/>
      <c r="O8" s="46"/>
      <c r="P8" s="46"/>
      <c r="Q8" s="46"/>
      <c r="R8" s="46"/>
      <c r="S8" s="46"/>
    </row>
    <row r="9" spans="1:37">
      <c r="A9" s="49" t="s">
        <v>360</v>
      </c>
      <c r="K9" s="55"/>
      <c r="L9" s="55" t="s">
        <v>361</v>
      </c>
      <c r="T9" s="51"/>
    </row>
    <row r="10" spans="1:37">
      <c r="A10" s="49"/>
      <c r="K10" s="55"/>
      <c r="L10" s="55" t="s">
        <v>359</v>
      </c>
      <c r="T10" s="51"/>
    </row>
    <row r="11" spans="1:37">
      <c r="A11" s="66" t="s">
        <v>392</v>
      </c>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37" ht="15.5" thickBot="1">
      <c r="A12" s="50"/>
      <c r="B12" s="54" t="s">
        <v>357</v>
      </c>
      <c r="C12" s="50"/>
      <c r="D12" s="50"/>
      <c r="E12" s="50"/>
      <c r="F12" s="50"/>
      <c r="G12" s="50"/>
      <c r="H12" s="52"/>
      <c r="I12" s="52"/>
      <c r="J12" s="52"/>
      <c r="K12" s="52"/>
      <c r="L12" s="52"/>
      <c r="M12" s="52"/>
      <c r="N12" s="52"/>
      <c r="O12" s="52"/>
      <c r="P12" s="52"/>
      <c r="Q12" s="52"/>
      <c r="R12" s="52"/>
      <c r="S12" s="52"/>
      <c r="T12" s="51"/>
      <c r="U12" s="51"/>
      <c r="V12" s="51"/>
      <c r="W12" s="51"/>
      <c r="X12" s="51"/>
      <c r="Y12" s="51"/>
      <c r="Z12" s="51"/>
    </row>
    <row r="13" spans="1:37" ht="15.75" customHeight="1">
      <c r="A13" s="51"/>
      <c r="B13" s="323" t="s">
        <v>350</v>
      </c>
      <c r="C13" s="324"/>
      <c r="D13" s="324"/>
      <c r="E13" s="324"/>
      <c r="F13" s="324"/>
      <c r="G13" s="324"/>
      <c r="H13" s="324"/>
      <c r="I13" s="324"/>
      <c r="J13" s="324"/>
      <c r="K13" s="324"/>
      <c r="L13" s="324"/>
      <c r="M13" s="325"/>
      <c r="N13" s="57"/>
      <c r="O13" s="310" t="s">
        <v>351</v>
      </c>
      <c r="P13" s="311"/>
      <c r="Q13" s="311"/>
      <c r="R13" s="311"/>
      <c r="S13" s="311"/>
      <c r="T13" s="311"/>
      <c r="U13" s="311"/>
      <c r="V13" s="311"/>
      <c r="W13" s="311"/>
      <c r="X13" s="311"/>
      <c r="Y13" s="311"/>
      <c r="Z13" s="311"/>
    </row>
    <row r="14" spans="1:37" ht="15.75" customHeight="1">
      <c r="A14" s="51"/>
      <c r="B14" s="326" t="s">
        <v>353</v>
      </c>
      <c r="C14" s="327"/>
      <c r="D14" s="327"/>
      <c r="E14" s="327"/>
      <c r="F14" s="327"/>
      <c r="G14" s="327"/>
      <c r="H14" s="327"/>
      <c r="I14" s="327"/>
      <c r="J14" s="327"/>
      <c r="K14" s="327"/>
      <c r="L14" s="327"/>
      <c r="M14" s="328"/>
      <c r="N14" s="57"/>
      <c r="O14" s="310" t="s">
        <v>352</v>
      </c>
      <c r="P14" s="311"/>
      <c r="Q14" s="311"/>
      <c r="R14" s="311"/>
      <c r="S14" s="311"/>
      <c r="T14" s="311"/>
      <c r="U14" s="311"/>
      <c r="V14" s="311"/>
      <c r="W14" s="311"/>
      <c r="X14" s="311"/>
      <c r="Y14" s="311"/>
      <c r="Z14" s="311"/>
    </row>
    <row r="15" spans="1:37" ht="15.75" customHeight="1" thickBot="1">
      <c r="A15" s="51"/>
      <c r="B15" s="326" t="s">
        <v>362</v>
      </c>
      <c r="C15" s="327"/>
      <c r="D15" s="327"/>
      <c r="E15" s="327"/>
      <c r="F15" s="327"/>
      <c r="G15" s="327"/>
      <c r="H15" s="327" t="s">
        <v>363</v>
      </c>
      <c r="I15" s="327"/>
      <c r="J15" s="327"/>
      <c r="K15" s="327"/>
      <c r="L15" s="327"/>
      <c r="M15" s="328"/>
      <c r="N15" s="57"/>
      <c r="O15" s="310" t="s">
        <v>362</v>
      </c>
      <c r="P15" s="311"/>
      <c r="Q15" s="311"/>
      <c r="R15" s="311"/>
      <c r="S15" s="311"/>
      <c r="T15" s="311"/>
      <c r="U15" s="311" t="s">
        <v>363</v>
      </c>
      <c r="V15" s="311"/>
      <c r="W15" s="311"/>
      <c r="X15" s="311"/>
      <c r="Y15" s="311"/>
      <c r="Z15" s="311"/>
    </row>
    <row r="16" spans="1:37" ht="15.5" thickBot="1">
      <c r="A16" s="51"/>
      <c r="B16" s="320"/>
      <c r="C16" s="321"/>
      <c r="D16" s="321"/>
      <c r="E16" s="321"/>
      <c r="F16" s="321"/>
      <c r="G16" s="322"/>
      <c r="H16" s="320"/>
      <c r="I16" s="321"/>
      <c r="J16" s="321"/>
      <c r="K16" s="321"/>
      <c r="L16" s="321"/>
      <c r="M16" s="322"/>
      <c r="N16" s="58"/>
      <c r="O16" s="318" t="str">
        <f>IF(B16="","",(VALUE(MID(AJ16,7,8))/60+VALUE(MID(AJ16,4,2)))/60+VALUE(LEFT(AJ16,2)))</f>
        <v/>
      </c>
      <c r="P16" s="319"/>
      <c r="Q16" s="319"/>
      <c r="R16" s="319"/>
      <c r="S16" s="319"/>
      <c r="T16" s="319"/>
      <c r="U16" s="319" t="str">
        <f>IF(H16="","",(VALUE(MID(AK16,8,8))/60+VALUE(MID(AK16,5,2)))/60+VALUE(LEFT(AK16,3)))</f>
        <v/>
      </c>
      <c r="V16" s="319"/>
      <c r="W16" s="319"/>
      <c r="X16" s="319"/>
      <c r="Y16" s="319"/>
      <c r="Z16" s="319"/>
      <c r="AA16" s="56" t="s">
        <v>358</v>
      </c>
      <c r="AJ16" s="13" t="str">
        <f>SUBSTITUTE(SUBSTITUTE(SUBSTITUTE(B16,"度","."),"分","."),"秒","")</f>
        <v/>
      </c>
      <c r="AK16" s="13" t="str">
        <f>SUBSTITUTE(SUBSTITUTE(SUBSTITUTE(H16,"度","."),"分","."),"秒","")</f>
        <v/>
      </c>
    </row>
    <row r="17" spans="1:37" ht="15.5" thickBot="1">
      <c r="A17" s="53" t="s">
        <v>354</v>
      </c>
      <c r="B17" s="313" t="s">
        <v>355</v>
      </c>
      <c r="C17" s="314"/>
      <c r="D17" s="314"/>
      <c r="E17" s="314"/>
      <c r="F17" s="314"/>
      <c r="G17" s="314"/>
      <c r="H17" s="314" t="s">
        <v>356</v>
      </c>
      <c r="I17" s="314"/>
      <c r="J17" s="314"/>
      <c r="K17" s="314"/>
      <c r="L17" s="314"/>
      <c r="M17" s="315"/>
      <c r="N17" s="58"/>
      <c r="O17" s="316">
        <f>(VALUE(MID(AJ17,7,8))/60+VALUE(MID(AJ17,4,2)))/60+VALUE(LEFT(AJ17,2))</f>
        <v>34.69262777777778</v>
      </c>
      <c r="P17" s="317"/>
      <c r="Q17" s="317"/>
      <c r="R17" s="317"/>
      <c r="S17" s="317"/>
      <c r="T17" s="317"/>
      <c r="U17" s="317">
        <f>(VALUE(MID(AK17,8,8))/60+VALUE(MID(AK17,5,2)))/60+VALUE(LEFT(AK17,3))</f>
        <v>135.49248611111111</v>
      </c>
      <c r="V17" s="317"/>
      <c r="W17" s="317"/>
      <c r="X17" s="317"/>
      <c r="Y17" s="317"/>
      <c r="Z17" s="317"/>
      <c r="AJ17" s="13" t="str">
        <f>SUBSTITUTE(SUBSTITUTE(SUBSTITUTE(B17,"度","."),"分","."),"秒","")</f>
        <v>34.41.33.46</v>
      </c>
      <c r="AK17" s="13" t="str">
        <f>SUBSTITUTE(SUBSTITUTE(SUBSTITUTE(H17,"度","."),"分","."),"秒","")</f>
        <v>135.29.32.95</v>
      </c>
    </row>
    <row r="27" spans="1:37">
      <c r="A27" s="42"/>
    </row>
  </sheetData>
  <sheetProtection algorithmName="SHA-512" hashValue="A++zlYn5itJG14TM0jYXpDPKZ+cq9SFG4AohnqfQ2+nnJsC8XN1NojvIy1PLG3nDKfdTKIRa+24KinlypG5yiA==" saltValue="m7AwPI6qqj5SYb/wIxAY0Q==" spinCount="100000" sheet="1" objects="1" scenarios="1"/>
  <mergeCells count="17">
    <mergeCell ref="U15:Z15"/>
    <mergeCell ref="O14:Z14"/>
    <mergeCell ref="B13:M13"/>
    <mergeCell ref="O13:Z13"/>
    <mergeCell ref="B15:G15"/>
    <mergeCell ref="H15:M15"/>
    <mergeCell ref="B14:M14"/>
    <mergeCell ref="U17:Z17"/>
    <mergeCell ref="O16:T16"/>
    <mergeCell ref="U16:Z16"/>
    <mergeCell ref="B16:G16"/>
    <mergeCell ref="H16:M16"/>
    <mergeCell ref="O15:T15"/>
    <mergeCell ref="A6:J6"/>
    <mergeCell ref="B17:G17"/>
    <mergeCell ref="H17:M17"/>
    <mergeCell ref="O17:T17"/>
  </mergeCells>
  <phoneticPr fontId="2"/>
  <hyperlinks>
    <hyperlink ref="K7" r:id="rId1" xr:uid="{5DECC3E0-0FA0-476D-B2C3-9F84DB2E0823}"/>
    <hyperlink ref="K6" r:id="rId2" xr:uid="{378AD52C-69F0-4851-BBE4-D672572F9BD8}"/>
  </hyperlinks>
  <pageMargins left="0.7" right="0.7" top="0.75" bottom="0.75" header="0.3" footer="0.3"/>
  <pageSetup paperSize="9" scale="68"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8004-4728-4571-8FCD-69F9B6315E23}">
  <sheetPr codeName="Sheet2"/>
  <dimension ref="A1:F35"/>
  <sheetViews>
    <sheetView workbookViewId="0">
      <selection activeCell="E32" sqref="E32"/>
    </sheetView>
  </sheetViews>
  <sheetFormatPr defaultRowHeight="13"/>
  <cols>
    <col min="1" max="1" width="3.6328125" customWidth="1"/>
    <col min="2" max="2" width="37.81640625" customWidth="1"/>
    <col min="3" max="3" width="11.54296875" customWidth="1"/>
  </cols>
  <sheetData>
    <row r="1" spans="1:6" ht="16">
      <c r="A1" s="70" t="s">
        <v>395</v>
      </c>
      <c r="B1" s="13"/>
      <c r="C1" s="13"/>
      <c r="D1" s="13"/>
      <c r="E1" s="13"/>
      <c r="F1" s="13"/>
    </row>
    <row r="2" spans="1:6" ht="15">
      <c r="A2" s="13" t="s">
        <v>396</v>
      </c>
      <c r="B2" s="13"/>
      <c r="C2" s="13"/>
      <c r="D2" s="13"/>
      <c r="E2" s="13"/>
      <c r="F2" s="13"/>
    </row>
    <row r="3" spans="1:6" ht="15">
      <c r="A3" s="13"/>
      <c r="B3" s="13"/>
      <c r="C3" s="13"/>
      <c r="D3" s="13"/>
      <c r="E3" s="13"/>
      <c r="F3" s="13"/>
    </row>
    <row r="4" spans="1:6" ht="15">
      <c r="A4" s="71" t="s">
        <v>397</v>
      </c>
      <c r="B4" s="13"/>
      <c r="C4" s="13"/>
      <c r="D4" s="13"/>
      <c r="E4" s="13"/>
      <c r="F4" s="13"/>
    </row>
    <row r="5" spans="1:6" ht="15">
      <c r="A5" s="84" t="str">
        <f>HYPERLINK("https://www.google.com/maps?q=" &amp;入力フォーム!L16&amp; ","&amp;入力フォーム!R16,"　地図上で発電設備等設置場所を表示（Googleマップ）")</f>
        <v>　地図上で発電設備等設置場所を表示（Googleマップ）</v>
      </c>
      <c r="B5" s="13"/>
      <c r="C5" s="13"/>
      <c r="D5" s="13"/>
      <c r="E5" s="13"/>
      <c r="F5" s="13"/>
    </row>
    <row r="6" spans="1:6" ht="15">
      <c r="A6" s="84"/>
      <c r="B6" s="13"/>
      <c r="C6" s="13"/>
      <c r="D6" s="13"/>
      <c r="E6" s="13"/>
      <c r="F6" s="13"/>
    </row>
    <row r="7" spans="1:6" ht="15">
      <c r="A7" s="13"/>
      <c r="B7" s="13"/>
      <c r="C7" s="13"/>
      <c r="D7" s="13"/>
      <c r="E7" s="13"/>
      <c r="F7" s="13"/>
    </row>
    <row r="8" spans="1:6" ht="15">
      <c r="A8" s="71" t="s">
        <v>398</v>
      </c>
      <c r="B8" s="13"/>
      <c r="C8" s="13"/>
      <c r="D8" s="13"/>
      <c r="E8" s="13"/>
      <c r="F8" s="13"/>
    </row>
    <row r="9" spans="1:6" ht="15">
      <c r="A9" s="13"/>
      <c r="B9" s="72" t="s">
        <v>339</v>
      </c>
      <c r="C9" s="73">
        <f>入力フォーム!L2</f>
        <v>0</v>
      </c>
      <c r="D9" s="74"/>
      <c r="E9" s="74"/>
      <c r="F9" s="75"/>
    </row>
    <row r="10" spans="1:6" ht="15">
      <c r="A10" s="13"/>
      <c r="B10" s="76"/>
      <c r="C10" s="13"/>
      <c r="D10" s="13"/>
      <c r="E10" s="13"/>
      <c r="F10" s="77"/>
    </row>
    <row r="11" spans="1:6" ht="15">
      <c r="A11" s="13"/>
      <c r="B11" s="78" t="s">
        <v>34</v>
      </c>
      <c r="C11" s="74"/>
      <c r="D11" s="74"/>
      <c r="E11" s="74"/>
      <c r="F11" s="75"/>
    </row>
    <row r="12" spans="1:6" ht="15">
      <c r="A12" s="13"/>
      <c r="B12" s="76" t="s">
        <v>319</v>
      </c>
      <c r="C12" s="13">
        <f>入力フォーム!L5</f>
        <v>0</v>
      </c>
      <c r="D12" s="13"/>
      <c r="E12" s="13"/>
      <c r="F12" s="77"/>
    </row>
    <row r="13" spans="1:6" ht="15">
      <c r="A13" s="13"/>
      <c r="B13" s="76" t="s">
        <v>320</v>
      </c>
      <c r="C13" s="13">
        <f>入力フォーム!L6</f>
        <v>0</v>
      </c>
      <c r="D13" s="13"/>
      <c r="E13" s="13"/>
      <c r="F13" s="77"/>
    </row>
    <row r="14" spans="1:6" ht="15">
      <c r="A14" s="13"/>
      <c r="B14" s="76" t="s">
        <v>321</v>
      </c>
      <c r="C14" s="13">
        <f>入力フォーム!L7</f>
        <v>0</v>
      </c>
      <c r="D14" s="13"/>
      <c r="E14" s="13"/>
      <c r="F14" s="77"/>
    </row>
    <row r="15" spans="1:6" ht="15">
      <c r="A15" s="13"/>
      <c r="B15" s="76" t="s">
        <v>399</v>
      </c>
      <c r="C15" s="13">
        <f>入力フォーム!L8</f>
        <v>0</v>
      </c>
      <c r="D15" s="13"/>
      <c r="E15" s="13"/>
      <c r="F15" s="77"/>
    </row>
    <row r="16" spans="1:6" ht="15">
      <c r="A16" s="13"/>
      <c r="B16" s="76" t="s">
        <v>323</v>
      </c>
      <c r="C16" s="13">
        <f>入力フォーム!L9</f>
        <v>0</v>
      </c>
      <c r="D16" s="13"/>
      <c r="E16" s="13"/>
      <c r="F16" s="77"/>
    </row>
    <row r="17" spans="1:6" ht="15">
      <c r="A17" s="13"/>
      <c r="B17" s="76" t="s">
        <v>400</v>
      </c>
      <c r="C17" s="13">
        <f>入力フォーム!L10</f>
        <v>0</v>
      </c>
      <c r="D17" s="13"/>
      <c r="E17" s="13"/>
      <c r="F17" s="77"/>
    </row>
    <row r="18" spans="1:6" ht="15">
      <c r="A18" s="13"/>
      <c r="B18" s="79"/>
      <c r="C18" s="80"/>
      <c r="D18" s="80"/>
      <c r="E18" s="80"/>
      <c r="F18" s="81"/>
    </row>
    <row r="19" spans="1:6" ht="15">
      <c r="A19" s="13"/>
      <c r="B19" s="72" t="s">
        <v>33</v>
      </c>
      <c r="C19" s="74"/>
      <c r="D19" s="74"/>
      <c r="E19" s="74"/>
      <c r="F19" s="75"/>
    </row>
    <row r="20" spans="1:6" ht="15">
      <c r="A20" s="13"/>
      <c r="B20" s="76" t="s">
        <v>324</v>
      </c>
      <c r="C20" s="13" t="s">
        <v>341</v>
      </c>
      <c r="D20" s="13" t="s">
        <v>342</v>
      </c>
      <c r="E20" s="13" t="s">
        <v>343</v>
      </c>
      <c r="F20" s="77"/>
    </row>
    <row r="21" spans="1:6" ht="15">
      <c r="A21" s="13"/>
      <c r="B21" s="76"/>
      <c r="C21" s="13">
        <f>入力フォーム!L14</f>
        <v>0</v>
      </c>
      <c r="D21" s="13">
        <f>入力フォーム!Q14</f>
        <v>0</v>
      </c>
      <c r="E21" s="13">
        <f>入力フォーム!X14</f>
        <v>0</v>
      </c>
      <c r="F21" s="77"/>
    </row>
    <row r="22" spans="1:6" ht="15">
      <c r="A22" s="13"/>
      <c r="B22" s="76" t="s">
        <v>325</v>
      </c>
      <c r="C22" s="13" t="s">
        <v>362</v>
      </c>
      <c r="D22" s="13" t="s">
        <v>363</v>
      </c>
      <c r="E22" s="13"/>
      <c r="F22" s="77"/>
    </row>
    <row r="23" spans="1:6" ht="15">
      <c r="A23" s="13"/>
      <c r="B23" s="76"/>
      <c r="C23" s="13">
        <f>入力フォーム!L16</f>
        <v>0</v>
      </c>
      <c r="D23" s="13">
        <f>入力フォーム!R16</f>
        <v>0</v>
      </c>
      <c r="E23" s="13"/>
      <c r="F23" s="77"/>
    </row>
    <row r="24" spans="1:6" ht="15">
      <c r="A24" s="13"/>
      <c r="B24" s="76" t="s">
        <v>335</v>
      </c>
      <c r="C24" s="13" t="s">
        <v>404</v>
      </c>
      <c r="D24" s="13"/>
      <c r="E24" s="13"/>
      <c r="F24" s="77"/>
    </row>
    <row r="25" spans="1:6" ht="15">
      <c r="A25" s="13"/>
      <c r="B25" s="76" t="s">
        <v>326</v>
      </c>
      <c r="C25" s="13">
        <f>入力フォーム!L18</f>
        <v>0</v>
      </c>
      <c r="D25" s="13"/>
      <c r="E25" s="13"/>
      <c r="F25" s="77"/>
    </row>
    <row r="26" spans="1:6" ht="15">
      <c r="A26" s="13"/>
      <c r="B26" s="76" t="s">
        <v>327</v>
      </c>
      <c r="C26" s="83">
        <f>入力フォーム!L19</f>
        <v>0</v>
      </c>
      <c r="D26" s="13" t="s">
        <v>401</v>
      </c>
      <c r="E26" s="13"/>
      <c r="F26" s="77"/>
    </row>
    <row r="27" spans="1:6" ht="15">
      <c r="A27" s="13"/>
      <c r="B27" s="76" t="s">
        <v>42</v>
      </c>
      <c r="C27" s="83">
        <f>入力フォーム!L20</f>
        <v>0</v>
      </c>
      <c r="D27" s="13" t="s">
        <v>401</v>
      </c>
      <c r="E27" s="13"/>
      <c r="F27" s="77"/>
    </row>
    <row r="28" spans="1:6" ht="15">
      <c r="A28" s="13"/>
      <c r="B28" s="76" t="s">
        <v>328</v>
      </c>
      <c r="C28" s="83" t="str">
        <f>入力フォーム!L21</f>
        <v>(自動計算)</v>
      </c>
      <c r="D28" s="13" t="s">
        <v>401</v>
      </c>
      <c r="E28" s="13"/>
      <c r="F28" s="77"/>
    </row>
    <row r="29" spans="1:6" ht="15">
      <c r="A29" s="13"/>
      <c r="B29" s="79"/>
      <c r="C29" s="80"/>
      <c r="D29" s="80"/>
      <c r="E29" s="80"/>
      <c r="F29" s="81"/>
    </row>
    <row r="30" spans="1:6" ht="15">
      <c r="A30" s="13"/>
      <c r="B30" s="76" t="s">
        <v>36</v>
      </c>
      <c r="C30" s="13"/>
      <c r="D30" s="13"/>
      <c r="E30" s="13"/>
      <c r="F30" s="77"/>
    </row>
    <row r="31" spans="1:6" ht="30">
      <c r="A31" s="13"/>
      <c r="B31" s="82" t="s">
        <v>329</v>
      </c>
      <c r="C31" s="13">
        <f>入力フォーム!L24</f>
        <v>0</v>
      </c>
      <c r="D31" s="13"/>
      <c r="E31" s="13"/>
      <c r="F31" s="77"/>
    </row>
    <row r="32" spans="1:6" ht="15">
      <c r="A32" s="13"/>
      <c r="B32" s="76" t="s">
        <v>20</v>
      </c>
      <c r="C32" s="13" t="s">
        <v>402</v>
      </c>
      <c r="D32" s="13" t="s">
        <v>26</v>
      </c>
      <c r="E32" s="13">
        <f>入力フォーム!Q26</f>
        <v>0</v>
      </c>
      <c r="F32" s="77"/>
    </row>
    <row r="33" spans="1:6" ht="15">
      <c r="A33" s="13"/>
      <c r="B33" s="76"/>
      <c r="C33" s="13" t="s">
        <v>39</v>
      </c>
      <c r="D33" s="13" t="str">
        <f>入力フォーム!L27</f>
        <v>-</v>
      </c>
      <c r="E33" s="13"/>
      <c r="F33" s="77"/>
    </row>
    <row r="34" spans="1:6" ht="15">
      <c r="A34" s="13"/>
      <c r="B34" s="76" t="s">
        <v>330</v>
      </c>
      <c r="C34" s="13" t="str">
        <f>入力フォーム!L28</f>
        <v>(自動表示)</v>
      </c>
      <c r="D34" s="13" t="s">
        <v>403</v>
      </c>
      <c r="E34" s="13"/>
      <c r="F34" s="77"/>
    </row>
    <row r="35" spans="1:6" ht="15">
      <c r="A35" s="13"/>
      <c r="B35" s="79"/>
      <c r="C35" s="80" t="s">
        <v>331</v>
      </c>
      <c r="D35" s="80">
        <f>入力フォーム!S29</f>
        <v>0</v>
      </c>
      <c r="E35" s="80" t="s">
        <v>403</v>
      </c>
      <c r="F35" s="81"/>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T74"/>
  <sheetViews>
    <sheetView workbookViewId="0"/>
  </sheetViews>
  <sheetFormatPr defaultRowHeight="13"/>
  <sheetData>
    <row r="1" spans="1:20">
      <c r="A1" t="s">
        <v>44</v>
      </c>
      <c r="B1" t="s">
        <v>45</v>
      </c>
      <c r="C1" t="s">
        <v>46</v>
      </c>
      <c r="F1" t="s">
        <v>50</v>
      </c>
    </row>
    <row r="2" spans="1:20">
      <c r="A2">
        <v>6.6</v>
      </c>
      <c r="B2" s="12" t="s">
        <v>47</v>
      </c>
      <c r="C2" s="12">
        <v>77</v>
      </c>
      <c r="F2">
        <v>6.6</v>
      </c>
      <c r="H2" t="s">
        <v>75</v>
      </c>
      <c r="I2" t="s">
        <v>112</v>
      </c>
      <c r="J2" t="s">
        <v>305</v>
      </c>
      <c r="K2" t="s">
        <v>303</v>
      </c>
      <c r="L2" t="s">
        <v>304</v>
      </c>
      <c r="M2" t="s">
        <v>306</v>
      </c>
      <c r="N2" t="s">
        <v>307</v>
      </c>
      <c r="O2" t="s">
        <v>313</v>
      </c>
      <c r="P2" t="s">
        <v>315</v>
      </c>
      <c r="Q2" t="s">
        <v>333</v>
      </c>
      <c r="R2" t="s">
        <v>334</v>
      </c>
      <c r="S2" t="s">
        <v>367</v>
      </c>
      <c r="T2" t="s">
        <v>368</v>
      </c>
    </row>
    <row r="3" spans="1:20">
      <c r="A3" t="s">
        <v>48</v>
      </c>
      <c r="B3" t="s">
        <v>48</v>
      </c>
      <c r="C3" s="12">
        <v>154</v>
      </c>
      <c r="F3" s="12" t="s">
        <v>47</v>
      </c>
      <c r="H3" t="s">
        <v>56</v>
      </c>
      <c r="I3" t="s">
        <v>76</v>
      </c>
      <c r="J3" t="s">
        <v>113</v>
      </c>
      <c r="K3" t="s">
        <v>185</v>
      </c>
      <c r="L3" t="s">
        <v>234</v>
      </c>
      <c r="M3" t="s">
        <v>273</v>
      </c>
      <c r="N3" t="s">
        <v>308</v>
      </c>
      <c r="O3" t="s">
        <v>314</v>
      </c>
      <c r="P3" t="s">
        <v>316</v>
      </c>
      <c r="Q3" t="s">
        <v>332</v>
      </c>
      <c r="R3" t="s">
        <v>332</v>
      </c>
      <c r="S3" t="s">
        <v>48</v>
      </c>
      <c r="T3" t="s">
        <v>369</v>
      </c>
    </row>
    <row r="4" spans="1:20">
      <c r="C4" s="12">
        <v>275</v>
      </c>
      <c r="F4" s="12">
        <v>77</v>
      </c>
      <c r="H4" t="s">
        <v>57</v>
      </c>
      <c r="I4" t="s">
        <v>77</v>
      </c>
      <c r="J4" t="s">
        <v>114</v>
      </c>
      <c r="K4" t="s">
        <v>186</v>
      </c>
      <c r="L4" t="s">
        <v>235</v>
      </c>
      <c r="M4" t="s">
        <v>274</v>
      </c>
      <c r="N4" t="s">
        <v>309</v>
      </c>
      <c r="O4" t="s">
        <v>372</v>
      </c>
      <c r="P4" t="s">
        <v>317</v>
      </c>
    </row>
    <row r="5" spans="1:20">
      <c r="C5" t="s">
        <v>48</v>
      </c>
      <c r="F5" s="12">
        <v>154</v>
      </c>
      <c r="H5" t="s">
        <v>58</v>
      </c>
      <c r="I5" t="s">
        <v>78</v>
      </c>
      <c r="J5" t="s">
        <v>115</v>
      </c>
      <c r="K5" t="s">
        <v>187</v>
      </c>
      <c r="L5" t="s">
        <v>236</v>
      </c>
      <c r="M5" t="s">
        <v>275</v>
      </c>
      <c r="N5" t="s">
        <v>310</v>
      </c>
      <c r="O5" t="s">
        <v>373</v>
      </c>
      <c r="P5" t="s">
        <v>318</v>
      </c>
    </row>
    <row r="6" spans="1:20">
      <c r="A6" t="str">
        <f>IF(入力フォーム!L21&lt;2000,"入力F_設定!A2:A3",IF(入力フォーム!L21&lt;10000,"入力F_設定!B2:B3","入力F_設定!C2:C5"))</f>
        <v>入力F_設定!C2:C5</v>
      </c>
      <c r="F6" s="12">
        <v>275</v>
      </c>
      <c r="H6" t="s">
        <v>59</v>
      </c>
      <c r="I6" t="s">
        <v>79</v>
      </c>
      <c r="J6" t="s">
        <v>116</v>
      </c>
      <c r="K6" t="s">
        <v>188</v>
      </c>
      <c r="L6" t="s">
        <v>237</v>
      </c>
      <c r="M6" t="s">
        <v>276</v>
      </c>
      <c r="N6" t="s">
        <v>311</v>
      </c>
      <c r="O6" t="s">
        <v>48</v>
      </c>
      <c r="P6" t="s">
        <v>374</v>
      </c>
    </row>
    <row r="7" spans="1:20">
      <c r="A7" t="str">
        <f>IF(入力フォーム!AT21&lt;2000,"入力F_設定!A2:A3",IF(入力フォーム!AT21&lt;10000,"入力F_設定!B2:B3","入力F_設定!C2:C5"))</f>
        <v>入力F_設定!C2:C5</v>
      </c>
      <c r="F7" s="12">
        <v>500</v>
      </c>
      <c r="H7" t="s">
        <v>60</v>
      </c>
      <c r="I7" t="s">
        <v>80</v>
      </c>
      <c r="J7" t="s">
        <v>117</v>
      </c>
      <c r="K7" t="s">
        <v>189</v>
      </c>
      <c r="L7" t="s">
        <v>238</v>
      </c>
      <c r="M7" t="s">
        <v>277</v>
      </c>
      <c r="N7" t="s">
        <v>312</v>
      </c>
      <c r="P7" t="s">
        <v>377</v>
      </c>
    </row>
    <row r="8" spans="1:20">
      <c r="H8" t="s">
        <v>61</v>
      </c>
      <c r="I8" t="s">
        <v>81</v>
      </c>
      <c r="J8" t="s">
        <v>118</v>
      </c>
      <c r="K8" t="s">
        <v>190</v>
      </c>
      <c r="L8" t="s">
        <v>239</v>
      </c>
      <c r="M8" t="s">
        <v>278</v>
      </c>
      <c r="N8" t="s">
        <v>370</v>
      </c>
      <c r="P8" t="s">
        <v>378</v>
      </c>
    </row>
    <row r="9" spans="1:20">
      <c r="H9" t="s">
        <v>62</v>
      </c>
      <c r="I9" t="s">
        <v>82</v>
      </c>
      <c r="J9" t="s">
        <v>119</v>
      </c>
      <c r="K9" t="s">
        <v>191</v>
      </c>
      <c r="L9" t="s">
        <v>240</v>
      </c>
      <c r="M9" t="s">
        <v>279</v>
      </c>
      <c r="N9" t="s">
        <v>371</v>
      </c>
      <c r="P9" t="s">
        <v>375</v>
      </c>
    </row>
    <row r="10" spans="1:20">
      <c r="H10" t="s">
        <v>63</v>
      </c>
      <c r="I10" t="s">
        <v>83</v>
      </c>
      <c r="J10" t="s">
        <v>120</v>
      </c>
      <c r="K10" t="s">
        <v>192</v>
      </c>
      <c r="L10" t="s">
        <v>241</v>
      </c>
      <c r="M10" t="s">
        <v>280</v>
      </c>
      <c r="N10" t="s">
        <v>48</v>
      </c>
      <c r="P10" t="s">
        <v>379</v>
      </c>
    </row>
    <row r="11" spans="1:20">
      <c r="H11" t="s">
        <v>64</v>
      </c>
      <c r="I11" t="s">
        <v>84</v>
      </c>
      <c r="J11" t="s">
        <v>121</v>
      </c>
      <c r="K11" t="s">
        <v>193</v>
      </c>
      <c r="L11" t="s">
        <v>242</v>
      </c>
      <c r="M11" t="s">
        <v>281</v>
      </c>
      <c r="P11" t="s">
        <v>380</v>
      </c>
    </row>
    <row r="12" spans="1:20">
      <c r="H12" t="s">
        <v>65</v>
      </c>
      <c r="I12" t="s">
        <v>85</v>
      </c>
      <c r="J12" t="s">
        <v>122</v>
      </c>
      <c r="K12" t="s">
        <v>194</v>
      </c>
      <c r="L12" t="s">
        <v>243</v>
      </c>
      <c r="M12" t="s">
        <v>282</v>
      </c>
      <c r="P12" t="s">
        <v>381</v>
      </c>
    </row>
    <row r="13" spans="1:20">
      <c r="H13" t="s">
        <v>66</v>
      </c>
      <c r="I13" t="s">
        <v>86</v>
      </c>
      <c r="J13" t="s">
        <v>123</v>
      </c>
      <c r="K13" t="s">
        <v>195</v>
      </c>
      <c r="L13" t="s">
        <v>244</v>
      </c>
      <c r="M13" t="s">
        <v>283</v>
      </c>
      <c r="P13" t="s">
        <v>376</v>
      </c>
    </row>
    <row r="14" spans="1:20">
      <c r="H14" t="s">
        <v>67</v>
      </c>
      <c r="I14" t="s">
        <v>87</v>
      </c>
      <c r="J14" t="s">
        <v>124</v>
      </c>
      <c r="K14" t="s">
        <v>196</v>
      </c>
      <c r="L14" t="s">
        <v>245</v>
      </c>
      <c r="M14" t="s">
        <v>284</v>
      </c>
      <c r="P14" t="s">
        <v>48</v>
      </c>
    </row>
    <row r="15" spans="1:20">
      <c r="H15" t="s">
        <v>68</v>
      </c>
      <c r="I15" t="s">
        <v>88</v>
      </c>
      <c r="J15" t="s">
        <v>125</v>
      </c>
      <c r="K15" t="s">
        <v>197</v>
      </c>
      <c r="L15" t="s">
        <v>246</v>
      </c>
      <c r="M15" t="s">
        <v>285</v>
      </c>
    </row>
    <row r="16" spans="1:20">
      <c r="H16" t="s">
        <v>69</v>
      </c>
      <c r="I16" t="s">
        <v>89</v>
      </c>
      <c r="J16" t="s">
        <v>126</v>
      </c>
      <c r="K16" t="s">
        <v>198</v>
      </c>
      <c r="L16" t="s">
        <v>247</v>
      </c>
      <c r="M16" t="s">
        <v>286</v>
      </c>
    </row>
    <row r="17" spans="8:13">
      <c r="H17" t="s">
        <v>70</v>
      </c>
      <c r="I17" t="s">
        <v>90</v>
      </c>
      <c r="J17" t="s">
        <v>127</v>
      </c>
      <c r="K17" t="s">
        <v>199</v>
      </c>
      <c r="L17" t="s">
        <v>248</v>
      </c>
      <c r="M17" t="s">
        <v>287</v>
      </c>
    </row>
    <row r="18" spans="8:13">
      <c r="H18" t="s">
        <v>71</v>
      </c>
      <c r="I18" t="s">
        <v>91</v>
      </c>
      <c r="J18" t="s">
        <v>128</v>
      </c>
      <c r="K18" t="s">
        <v>200</v>
      </c>
      <c r="L18" t="s">
        <v>249</v>
      </c>
      <c r="M18" t="s">
        <v>288</v>
      </c>
    </row>
    <row r="19" spans="8:13">
      <c r="H19" t="s">
        <v>72</v>
      </c>
      <c r="I19" t="s">
        <v>92</v>
      </c>
      <c r="J19" t="s">
        <v>129</v>
      </c>
      <c r="K19" t="s">
        <v>201</v>
      </c>
      <c r="L19" t="s">
        <v>250</v>
      </c>
      <c r="M19" t="s">
        <v>289</v>
      </c>
    </row>
    <row r="20" spans="8:13">
      <c r="H20" t="s">
        <v>73</v>
      </c>
      <c r="I20" t="s">
        <v>93</v>
      </c>
      <c r="J20" t="s">
        <v>130</v>
      </c>
      <c r="K20" t="s">
        <v>202</v>
      </c>
      <c r="L20" t="s">
        <v>251</v>
      </c>
      <c r="M20" t="s">
        <v>290</v>
      </c>
    </row>
    <row r="21" spans="8:13">
      <c r="H21" t="s">
        <v>74</v>
      </c>
      <c r="I21" t="s">
        <v>94</v>
      </c>
      <c r="J21" t="s">
        <v>131</v>
      </c>
      <c r="K21" t="s">
        <v>203</v>
      </c>
      <c r="L21" t="s">
        <v>252</v>
      </c>
      <c r="M21" t="s">
        <v>291</v>
      </c>
    </row>
    <row r="22" spans="8:13">
      <c r="I22" t="s">
        <v>95</v>
      </c>
      <c r="J22" t="s">
        <v>132</v>
      </c>
      <c r="K22" t="s">
        <v>204</v>
      </c>
      <c r="L22" t="s">
        <v>253</v>
      </c>
      <c r="M22" t="s">
        <v>292</v>
      </c>
    </row>
    <row r="23" spans="8:13">
      <c r="I23" t="s">
        <v>96</v>
      </c>
      <c r="J23" t="s">
        <v>133</v>
      </c>
      <c r="K23" t="s">
        <v>205</v>
      </c>
      <c r="L23" t="s">
        <v>254</v>
      </c>
      <c r="M23" t="s">
        <v>293</v>
      </c>
    </row>
    <row r="24" spans="8:13">
      <c r="I24" t="s">
        <v>97</v>
      </c>
      <c r="J24" t="s">
        <v>134</v>
      </c>
      <c r="K24" t="s">
        <v>206</v>
      </c>
      <c r="L24" t="s">
        <v>255</v>
      </c>
      <c r="M24" t="s">
        <v>294</v>
      </c>
    </row>
    <row r="25" spans="8:13">
      <c r="I25" t="s">
        <v>98</v>
      </c>
      <c r="J25" t="s">
        <v>135</v>
      </c>
      <c r="K25" t="s">
        <v>207</v>
      </c>
      <c r="L25" t="s">
        <v>256</v>
      </c>
      <c r="M25" t="s">
        <v>295</v>
      </c>
    </row>
    <row r="26" spans="8:13">
      <c r="I26" t="s">
        <v>99</v>
      </c>
      <c r="J26" t="s">
        <v>136</v>
      </c>
      <c r="K26" t="s">
        <v>208</v>
      </c>
      <c r="L26" t="s">
        <v>257</v>
      </c>
      <c r="M26" t="s">
        <v>296</v>
      </c>
    </row>
    <row r="27" spans="8:13">
      <c r="I27" t="s">
        <v>100</v>
      </c>
      <c r="J27" t="s">
        <v>137</v>
      </c>
      <c r="K27" t="s">
        <v>209</v>
      </c>
      <c r="L27" t="s">
        <v>258</v>
      </c>
      <c r="M27" t="s">
        <v>297</v>
      </c>
    </row>
    <row r="28" spans="8:13">
      <c r="I28" t="s">
        <v>101</v>
      </c>
      <c r="J28" t="s">
        <v>138</v>
      </c>
      <c r="K28" t="s">
        <v>210</v>
      </c>
      <c r="L28" t="s">
        <v>259</v>
      </c>
      <c r="M28" t="s">
        <v>298</v>
      </c>
    </row>
    <row r="29" spans="8:13">
      <c r="I29" t="s">
        <v>102</v>
      </c>
      <c r="J29" t="s">
        <v>139</v>
      </c>
      <c r="K29" t="s">
        <v>211</v>
      </c>
      <c r="L29" t="s">
        <v>260</v>
      </c>
      <c r="M29" t="s">
        <v>299</v>
      </c>
    </row>
    <row r="30" spans="8:13">
      <c r="I30" t="s">
        <v>103</v>
      </c>
      <c r="J30" t="s">
        <v>140</v>
      </c>
      <c r="K30" t="s">
        <v>212</v>
      </c>
      <c r="L30" t="s">
        <v>261</v>
      </c>
      <c r="M30" t="s">
        <v>300</v>
      </c>
    </row>
    <row r="31" spans="8:13">
      <c r="I31" t="s">
        <v>104</v>
      </c>
      <c r="J31" t="s">
        <v>141</v>
      </c>
      <c r="K31" t="s">
        <v>213</v>
      </c>
      <c r="L31" t="s">
        <v>262</v>
      </c>
      <c r="M31" t="s">
        <v>301</v>
      </c>
    </row>
    <row r="32" spans="8:13">
      <c r="I32" t="s">
        <v>105</v>
      </c>
      <c r="J32" t="s">
        <v>142</v>
      </c>
      <c r="K32" t="s">
        <v>214</v>
      </c>
      <c r="L32" t="s">
        <v>263</v>
      </c>
      <c r="M32" t="s">
        <v>302</v>
      </c>
    </row>
    <row r="33" spans="9:12">
      <c r="I33" t="s">
        <v>106</v>
      </c>
      <c r="J33" t="s">
        <v>143</v>
      </c>
      <c r="K33" t="s">
        <v>215</v>
      </c>
      <c r="L33" t="s">
        <v>264</v>
      </c>
    </row>
    <row r="34" spans="9:12">
      <c r="I34" t="s">
        <v>107</v>
      </c>
      <c r="J34" t="s">
        <v>144</v>
      </c>
      <c r="K34" t="s">
        <v>216</v>
      </c>
      <c r="L34" t="s">
        <v>265</v>
      </c>
    </row>
    <row r="35" spans="9:12">
      <c r="I35" t="s">
        <v>108</v>
      </c>
      <c r="J35" t="s">
        <v>145</v>
      </c>
      <c r="K35" t="s">
        <v>217</v>
      </c>
      <c r="L35" t="s">
        <v>266</v>
      </c>
    </row>
    <row r="36" spans="9:12">
      <c r="I36" t="s">
        <v>109</v>
      </c>
      <c r="J36" t="s">
        <v>146</v>
      </c>
      <c r="K36" t="s">
        <v>218</v>
      </c>
      <c r="L36" t="s">
        <v>267</v>
      </c>
    </row>
    <row r="37" spans="9:12">
      <c r="I37" t="s">
        <v>110</v>
      </c>
      <c r="J37" t="s">
        <v>147</v>
      </c>
      <c r="K37" t="s">
        <v>219</v>
      </c>
      <c r="L37" t="s">
        <v>268</v>
      </c>
    </row>
    <row r="38" spans="9:12">
      <c r="I38" t="s">
        <v>111</v>
      </c>
      <c r="J38" t="s">
        <v>148</v>
      </c>
      <c r="K38" t="s">
        <v>220</v>
      </c>
      <c r="L38" t="s">
        <v>269</v>
      </c>
    </row>
    <row r="39" spans="9:12">
      <c r="J39" t="s">
        <v>149</v>
      </c>
      <c r="K39" t="s">
        <v>221</v>
      </c>
      <c r="L39" t="s">
        <v>270</v>
      </c>
    </row>
    <row r="40" spans="9:12">
      <c r="J40" t="s">
        <v>150</v>
      </c>
      <c r="K40" t="s">
        <v>222</v>
      </c>
      <c r="L40" t="s">
        <v>271</v>
      </c>
    </row>
    <row r="41" spans="9:12">
      <c r="J41" t="s">
        <v>151</v>
      </c>
      <c r="K41" t="s">
        <v>223</v>
      </c>
      <c r="L41" t="s">
        <v>272</v>
      </c>
    </row>
    <row r="42" spans="9:12">
      <c r="J42" t="s">
        <v>152</v>
      </c>
      <c r="K42" t="s">
        <v>224</v>
      </c>
    </row>
    <row r="43" spans="9:12">
      <c r="J43" t="s">
        <v>153</v>
      </c>
      <c r="K43" t="s">
        <v>225</v>
      </c>
    </row>
    <row r="44" spans="9:12">
      <c r="J44" t="s">
        <v>154</v>
      </c>
      <c r="K44" t="s">
        <v>226</v>
      </c>
    </row>
    <row r="45" spans="9:12">
      <c r="J45" t="s">
        <v>155</v>
      </c>
      <c r="K45" t="s">
        <v>227</v>
      </c>
    </row>
    <row r="46" spans="9:12">
      <c r="J46" t="s">
        <v>156</v>
      </c>
      <c r="K46" t="s">
        <v>228</v>
      </c>
    </row>
    <row r="47" spans="9:12">
      <c r="J47" t="s">
        <v>157</v>
      </c>
      <c r="K47" t="s">
        <v>229</v>
      </c>
    </row>
    <row r="48" spans="9:12">
      <c r="J48" t="s">
        <v>158</v>
      </c>
      <c r="K48" t="s">
        <v>230</v>
      </c>
    </row>
    <row r="49" spans="10:11">
      <c r="J49" t="s">
        <v>159</v>
      </c>
      <c r="K49" t="s">
        <v>231</v>
      </c>
    </row>
    <row r="50" spans="10:11">
      <c r="J50" t="s">
        <v>160</v>
      </c>
      <c r="K50" t="s">
        <v>232</v>
      </c>
    </row>
    <row r="51" spans="10:11">
      <c r="J51" t="s">
        <v>161</v>
      </c>
      <c r="K51" t="s">
        <v>233</v>
      </c>
    </row>
    <row r="52" spans="10:11">
      <c r="J52" t="s">
        <v>162</v>
      </c>
    </row>
    <row r="53" spans="10:11">
      <c r="J53" t="s">
        <v>163</v>
      </c>
    </row>
    <row r="54" spans="10:11">
      <c r="J54" t="s">
        <v>164</v>
      </c>
    </row>
    <row r="55" spans="10:11">
      <c r="J55" t="s">
        <v>165</v>
      </c>
    </row>
    <row r="56" spans="10:11">
      <c r="J56" t="s">
        <v>166</v>
      </c>
    </row>
    <row r="57" spans="10:11">
      <c r="J57" t="s">
        <v>167</v>
      </c>
    </row>
    <row r="58" spans="10:11">
      <c r="J58" t="s">
        <v>168</v>
      </c>
    </row>
    <row r="59" spans="10:11">
      <c r="J59" t="s">
        <v>169</v>
      </c>
    </row>
    <row r="60" spans="10:11">
      <c r="J60" t="s">
        <v>170</v>
      </c>
    </row>
    <row r="61" spans="10:11">
      <c r="J61" t="s">
        <v>171</v>
      </c>
    </row>
    <row r="62" spans="10:11">
      <c r="J62" t="s">
        <v>172</v>
      </c>
    </row>
    <row r="63" spans="10:11">
      <c r="J63" t="s">
        <v>173</v>
      </c>
    </row>
    <row r="64" spans="10:11">
      <c r="J64" t="s">
        <v>174</v>
      </c>
    </row>
    <row r="65" spans="10:10">
      <c r="J65" t="s">
        <v>175</v>
      </c>
    </row>
    <row r="66" spans="10:10">
      <c r="J66" t="s">
        <v>176</v>
      </c>
    </row>
    <row r="67" spans="10:10">
      <c r="J67" t="s">
        <v>177</v>
      </c>
    </row>
    <row r="68" spans="10:10">
      <c r="J68" t="s">
        <v>178</v>
      </c>
    </row>
    <row r="69" spans="10:10">
      <c r="J69" t="s">
        <v>179</v>
      </c>
    </row>
    <row r="70" spans="10:10">
      <c r="J70" t="s">
        <v>180</v>
      </c>
    </row>
    <row r="71" spans="10:10">
      <c r="J71" t="s">
        <v>181</v>
      </c>
    </row>
    <row r="72" spans="10:10">
      <c r="J72" t="s">
        <v>182</v>
      </c>
    </row>
    <row r="73" spans="10:10">
      <c r="J73" t="s">
        <v>183</v>
      </c>
    </row>
    <row r="74" spans="10:10">
      <c r="J74" t="s">
        <v>184</v>
      </c>
    </row>
  </sheetData>
  <sheetProtection algorithmName="SHA-512" hashValue="C4N+ZlcArmozqaII0nmPf5BrGt891Q2h1L0hBMc4Ya1EplWiwr8hKvyaKEYF2x3CEsYhuwUJHjywdDpPFCFJkg==" saltValue="AWir5Gz9+uGPjVcorJf4fA==" spinCount="100000" sheet="1" objects="1" scenarios="1" selectLockedCells="1"/>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17</vt:i4>
      </vt:variant>
    </vt:vector>
  </HeadingPairs>
  <TitlesOfParts>
    <vt:vector size="22" baseType="lpstr">
      <vt:lpstr>入力フォーム</vt:lpstr>
      <vt:lpstr>申込書</vt:lpstr>
      <vt:lpstr>緯度経度取得方法の例</vt:lpstr>
      <vt:lpstr>社内検討用シート</vt:lpstr>
      <vt:lpstr>入力F_設定</vt:lpstr>
      <vt:lpstr>緯度経度取得方法の例!Print_Area</vt:lpstr>
      <vt:lpstr>申込書!Print_Area</vt:lpstr>
      <vt:lpstr>入力フォーム!Print_Area</vt:lpstr>
      <vt:lpstr>愛知県</vt:lpstr>
      <vt:lpstr>岐阜県</vt:lpstr>
      <vt:lpstr>岐阜市</vt:lpstr>
      <vt:lpstr>京都府</vt:lpstr>
      <vt:lpstr>三重県</vt:lpstr>
      <vt:lpstr>滋賀県</vt:lpstr>
      <vt:lpstr>石川県</vt:lpstr>
      <vt:lpstr>大阪府</vt:lpstr>
      <vt:lpstr>長野県</vt:lpstr>
      <vt:lpstr>奈良県</vt:lpstr>
      <vt:lpstr>富山県</vt:lpstr>
      <vt:lpstr>福井県</vt:lpstr>
      <vt:lpstr>兵庫県</vt:lpstr>
      <vt:lpstr>和歌山県</vt:lpstr>
    </vt:vector>
  </TitlesOfParts>
  <Company>関西電力送配電株式会社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事前相談申込書（特別高圧）</dc:title>
  <dc:creator/>
  <cp:lastModifiedBy/>
  <dcterms:created xsi:type="dcterms:W3CDTF">2023-12-12T00:59:34Z</dcterms:created>
  <dcterms:modified xsi:type="dcterms:W3CDTF">2025-12-09T00:21:58Z</dcterms:modified>
</cp:coreProperties>
</file>