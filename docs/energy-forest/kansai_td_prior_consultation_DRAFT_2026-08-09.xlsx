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comments1.xml" ContentType="application/vnd.openxmlformats-officedocument.spreadsheetml.comments+xml"/>
  <Override PartName="/xl/threadedComments/threadedComment1.xml" ContentType="application/vnd.ms-excel.threadedcomments+xml"/>
  <Override PartName="/xl/worksheets/sheet3.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externalLinks/externalLink1.xml" ContentType="application/vnd.openxmlformats-officedocument.spreadsheetml.externalLink+xml"/>
  <Override PartName="/docProps/core.xml" ContentType="application/vnd.openxmlformats-package.core-properties+xml"/>
  <Override PartName="/xl/worksheets/sheet4.xml" ContentType="application/vnd.openxmlformats-officedocument.spreadsheetml.worksheet+xml"/>
  <Override PartName="/xl/externalLinks/externalLink3.xml" ContentType="application/vnd.openxmlformats-officedocument.spreadsheetml.externalLink+xml"/>
  <Override PartName="/docProps/app.xml" ContentType="application/vnd.openxmlformats-officedocument.extended-properties+xml"/>
  <Override PartName="/xl/theme/theme1.xml" ContentType="application/vnd.openxmlformats-officedocument.theme+xml"/>
  <Override PartName="/xl/externalLinks/externalLink2.xml" ContentType="application/vnd.openxmlformats-officedocument.spreadsheetml.externalLink+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showHorizontalScroll="1" showVerticalScroll="1"/>
  </bookViews>
  <sheets>
    <sheet name="入力フォーム" sheetId="1" state="visible" r:id="rId5"/>
    <sheet name="申込書" sheetId="2" state="visible" r:id="rId6"/>
    <sheet name="緯度経度取得方法の例" sheetId="3" state="visible" r:id="rId7"/>
    <sheet name="社内検討用シート" sheetId="4" state="hidden" r:id="rId8"/>
    <sheet name="入力F_設定" sheetId="5" state="hidden" r:id="rId9"/>
  </sheets>
  <externalReferences>
    <externalReference r:id="rId1"/>
    <externalReference r:id="rId2"/>
    <externalReference r:id="rId3"/>
  </externalReferences>
  <definedNames>
    <definedName name="Data" localSheetId="0">#REF!</definedName>
    <definedName name="集約需要家ID" localSheetId="0">#REF!</definedName>
    <definedName name="_xlnm.Print_Area" localSheetId="0">入力フォーム!$A$1:$BQ$30</definedName>
    <definedName name="ユニット" localSheetId="1">申込書!#REF!</definedName>
    <definedName name="愛知県" localSheetId="1">申込書!#REF!</definedName>
    <definedName name="岐阜県" localSheetId="1">申込書!#REF!</definedName>
    <definedName name="三重県" localSheetId="1">申込書!#REF!</definedName>
    <definedName name="新潟県" localSheetId="1">#REF!</definedName>
    <definedName name="静岡県" localSheetId="1">申込書!#REF!</definedName>
    <definedName name="長野県" localSheetId="1">申込書!#REF!</definedName>
    <definedName name="都道府県" localSheetId="1">申込書!#REF!</definedName>
    <definedName name="_xlnm.Print_Area" localSheetId="1">申込書!$A$1:$DP$25</definedName>
    <definedName name="__123Graph_A回収率" localSheetId="2" hidden="1">#REF!</definedName>
    <definedName name="__123Graph_A速度" localSheetId="2" hidden="1">#REF!</definedName>
    <definedName name="__123Graph_B回収率" localSheetId="2" hidden="1">#REF!</definedName>
    <definedName name="__123Graph_B速度" localSheetId="2" hidden="1">#REF!</definedName>
    <definedName name="__123Graph_X回収率" localSheetId="2" hidden="1">#REF!</definedName>
    <definedName name="__123Graph_X速度" localSheetId="2" hidden="1">#REF!</definedName>
    <definedName name="_1__123Graph_Aｸﾞﾗﾌ_1" localSheetId="2" hidden="1">#REF!</definedName>
    <definedName name="_11__123Graph_Aｸﾞﾗﾌ_2" localSheetId="2" hidden="1">#REF!</definedName>
    <definedName name="_2__123Graph_Aｸﾞﾗﾌ_1" localSheetId="2" hidden="1">#REF!</definedName>
    <definedName name="_2__123Graph_Aｸﾞﾗﾌ_2" localSheetId="2" hidden="1">#REF!</definedName>
    <definedName name="_26__123Graph_Bｸﾞﾗﾌ_12" localSheetId="2" hidden="1">[1]経営指標データ!#REF!</definedName>
    <definedName name="_4__123Graph_Aｸﾞﾗﾌ_1" localSheetId="2" hidden="1">#REF!</definedName>
    <definedName name="_4__123Graph_Aｸﾞﾗﾌ_2" localSheetId="2" hidden="1">#REF!</definedName>
    <definedName name="_41__123Graph_Cｸﾞﾗﾌ_12" localSheetId="2" hidden="1">[1]経営指標データ!#REF!</definedName>
    <definedName name="_45__123Graph_Cｸﾞﾗﾌ_3" localSheetId="2" hidden="1">#REF!</definedName>
    <definedName name="_52__123Graph_Dｸﾞﾗﾌ_3" localSheetId="2" hidden="1">#REF!</definedName>
    <definedName name="_56__123Graph_Xｸﾞﾗﾌ_1" localSheetId="2" hidden="1">#REF!</definedName>
    <definedName name="_64__123Graph_Xｸﾞﾗﾌ_2" localSheetId="2" hidden="1">#REF!</definedName>
    <definedName name="_Fill" localSheetId="2" hidden="1">#REF!</definedName>
    <definedName name="_Key1" localSheetId="2" hidden="1">#REF!</definedName>
    <definedName name="_Key2" localSheetId="2" hidden="1">#REF!</definedName>
    <definedName name="_Sort" localSheetId="2" hidden="1">#REF!</definedName>
    <definedName name="aaa" localSheetId="2" hidden="1">#REF!</definedName>
    <definedName name="Data" localSheetId="2">#REF!</definedName>
    <definedName name="iii" localSheetId="2" hidden="1">#REF!</definedName>
    <definedName name="kaki" localSheetId="2" hidden="1">#REF!</definedName>
    <definedName name="あれれ" localSheetId="2" hidden="1">#REF!</definedName>
    <definedName name="カタログ" localSheetId="2" hidden="1">#REF!</definedName>
    <definedName name="ユニット" localSheetId="2">#REF!</definedName>
    <definedName name="愛知県" localSheetId="2">#REF!</definedName>
    <definedName name="空欄" localSheetId="2" hidden="1">#REF!</definedName>
    <definedName name="集約需要家ID" localSheetId="2">#REF!</definedName>
    <definedName name="新潟県" localSheetId="2">#REF!</definedName>
    <definedName name="静岡県" localSheetId="2">#REF!</definedName>
    <definedName name="都道府県" localSheetId="2">#REF!</definedName>
    <definedName name="_xlnm.Print_Area" localSheetId="2">緯度経度取得方法の例!$A$1:$AI$18</definedName>
    <definedName name="__123Graph_A回収率" hidden="1">#REF!</definedName>
    <definedName name="__123Graph_A速度" hidden="1">#REF!</definedName>
    <definedName name="__123Graph_B回収率" hidden="1">#REF!</definedName>
    <definedName name="__123Graph_B速度" hidden="1">#REF!</definedName>
    <definedName name="__123Graph_X回収率" hidden="1">#REF!</definedName>
    <definedName name="__123Graph_X速度" hidden="1">#REF!</definedName>
    <definedName name="_1__123Graph_Aｸﾞﾗﾌ_1" hidden="1">#REF!</definedName>
    <definedName name="_11__123Graph_Aｸﾞﾗﾌ_2" hidden="1">#REF!</definedName>
    <definedName name="_12__123Graph_Aｸﾞﾗﾌ_3" hidden="1">'[1]経営指標データ'!$J$28:$M$28</definedName>
    <definedName name="_123Graph_Aｸﾞﾗﾌ１" hidden="1">'[2]ｸﾞﾗﾌﾃﾞｰﾀ'!$F$4:$F$60</definedName>
    <definedName name="_13__123Graph_Aｸﾞﾗﾌ_4" hidden="1">'[1]経営指標データ'!$J$40:$M$40</definedName>
    <definedName name="_14__123Graph_Aｸﾞﾗﾌ_5" hidden="1">'[1]経営指標データ'!$J$52:$M$52</definedName>
    <definedName name="_15__123Graph_Aｸﾞﾗﾌ_6" hidden="1">'[1]経営指標データ'!$U$3:$Y$3</definedName>
    <definedName name="_16__123Graph_Aｸﾞﾗﾌ_7" hidden="1">'[1]経営指標データ'!$U$18:$Y$18</definedName>
    <definedName name="_17__123Graph_Aｸﾞﾗﾌ_8" hidden="1">'[1]経営指標データ'!$U$34:$Y$34</definedName>
    <definedName name="_18__123Graph_Aｸﾞﾗﾌ_9" hidden="1">'[1]経営指標データ'!$U$52:$Y$52</definedName>
    <definedName name="_2__123Graph_Aｸﾞﾗﾌ_1" hidden="1">#REF!</definedName>
    <definedName name="_2__123Graph_Aｸﾞﾗﾌ_2" hidden="1">#REF!</definedName>
    <definedName name="_22__123Graph_Bｸﾞﾗﾌ_1" hidden="1">'[3]表'!$D$6:$D$120</definedName>
    <definedName name="_23__123Graph_Bｸﾞﾗﾌ_10" hidden="1">'[1]経営指標データ'!$U$71:$Y$71</definedName>
    <definedName name="_24__123Graph_Bｸﾞﾗﾌ_11" hidden="1">'[1]経営指標データ'!$J$65:$N$65</definedName>
    <definedName name="_26__123Graph_Bｸﾞﾗﾌ_12" hidden="1">[1]経営指標データ!#REF!</definedName>
    <definedName name="_27__123Graph_Bｸﾞﾗﾌ_13" hidden="1">'[1]B'!$I$5:$N$5</definedName>
    <definedName name="_28__123Graph_Bｸﾞﾗﾌ_14" hidden="1">'[1]B'!$I$53:$N$53</definedName>
    <definedName name="_29__123Graph_Bｸﾞﾗﾌ_2" hidden="1">'[1]経営指標データ'!$J$17:$M$17</definedName>
    <definedName name="_30__123Graph_Bｸﾞﾗﾌ_3" hidden="1">'[1]経営指標データ'!$J$29:$M$29</definedName>
    <definedName name="_31__123Graph_Bｸﾞﾗﾌ_4" hidden="1">'[1]経営指標データ'!$J$41:$M$41</definedName>
    <definedName name="_32__123Graph_Bｸﾞﾗﾌ_5" hidden="1">'[1]経営指標データ'!$J$53:$M$53</definedName>
    <definedName name="_33__123Graph_Bｸﾞﾗﾌ_6" hidden="1">'[1]経営指標データ'!$U$4:$Y$4</definedName>
    <definedName name="_34__123Graph_Bｸﾞﾗﾌ_7" hidden="1">'[1]経営指標データ'!$U$19:$Y$19</definedName>
    <definedName name="_35__123Graph_Bｸﾞﾗﾌ_8" hidden="1">'[1]経営指標データ'!$U$35:$Y$35</definedName>
    <definedName name="_36__123Graph_Bｸﾞﾗﾌ_9" hidden="1">'[1]経営指標データ'!$U$53:$Y$53</definedName>
    <definedName name="_37__123Graph_Cｸﾞﾗﾌ_1" hidden="1">'[3]表'!$F$6:$F$120</definedName>
    <definedName name="_38__123Graph_Cｸﾞﾗﾌ_10" hidden="1">'[1]経営指標データ'!$U$72:$Y$72</definedName>
    <definedName name="_39__123Graph_Cｸﾞﾗﾌ_11" hidden="1">'[1]経営指標データ'!$J$66:$N$66</definedName>
    <definedName name="_4__123Graph_Aｸﾞﾗﾌ_1" hidden="1">#REF!</definedName>
    <definedName name="_4__123Graph_Aｸﾞﾗﾌ_2" hidden="1">#REF!</definedName>
    <definedName name="_41__123Graph_Cｸﾞﾗﾌ_12" hidden="1">[1]経営指標データ!#REF!</definedName>
    <definedName name="_42__123Graph_Cｸﾞﾗﾌ_13" hidden="1">'[1]B'!$I$6:$N$6</definedName>
    <definedName name="_43__123Graph_Cｸﾞﾗﾌ_14" hidden="1">'[1]B'!$I$54:$N$54</definedName>
    <definedName name="_45__123Graph_Cｸﾞﾗﾌ_3" hidden="1">#REF!</definedName>
    <definedName name="_46__123Graph_Cｸﾞﾗﾌ_6" hidden="1">'[1]経営指標データ'!$U$5:$Y$5</definedName>
    <definedName name="_47__123Graph_Cｸﾞﾗﾌ_7" hidden="1">'[1]経営指標データ'!$U$20:$Y$20</definedName>
    <definedName name="_48__123Graph_Cｸﾞﾗﾌ_8" hidden="1">'[1]経営指標データ'!$U$36:$Y$36</definedName>
    <definedName name="_49__123Graph_Cｸﾞﾗﾌ_9" hidden="1">'[1]経営指標データ'!$U$54:$Y$54</definedName>
    <definedName name="_5__123Graph_Aｸﾞﾗﾌ_10" hidden="1">'[1]経営指標データ'!$U$70:$Y$70</definedName>
    <definedName name="_50__123Graph_Dｸﾞﾗﾌ_12" hidden="1">'[1]経営指標データ'!$U$87:$Y$87</definedName>
    <definedName name="_52__123Graph_Dｸﾞﾗﾌ_3" hidden="1">#REF!</definedName>
    <definedName name="_56__123Graph_Xｸﾞﾗﾌ_1" hidden="1">#REF!</definedName>
    <definedName name="_57__123Graph_Xｸﾞﾗﾌ_10" hidden="1">'[1]経営指標データ'!$U$69:$Y$69</definedName>
    <definedName name="_58__123Graph_Xｸﾞﾗﾌ_11" hidden="1">'[1]経営指標データ'!$J$64:$N$64</definedName>
    <definedName name="_59__123Graph_Xｸﾞﾗﾌ_12" hidden="1">'[1]経営指標データ'!$U$86:$Y$86</definedName>
    <definedName name="_6__123Graph_Aｸﾞﾗﾌ_13" hidden="1">'[1]B'!$I$4:$N$4</definedName>
    <definedName name="_60__123Graph_Xｸﾞﾗﾌ_14" hidden="1">'[1]B'!$I$51:$N$51</definedName>
    <definedName name="_64__123Graph_Xｸﾞﾗﾌ_2" hidden="1">#REF!</definedName>
    <definedName name="_65__123Graph_Xｸﾞﾗﾌ_3" hidden="1">'[1]経営指標データ'!$J$27:$M$27</definedName>
    <definedName name="_66__123Graph_Xｸﾞﾗﾌ_4" hidden="1">'[1]経営指標データ'!$J$39:$M$39</definedName>
    <definedName name="_67__123Graph_Xｸﾞﾗﾌ_5" hidden="1">'[1]経営指標データ'!$J$51:$M$51</definedName>
    <definedName name="_68__123Graph_Xｸﾞﾗﾌ_6" hidden="1">'[1]経営指標データ'!$U$2:$Y$2</definedName>
    <definedName name="_69__123Graph_Xｸﾞﾗﾌ_7" hidden="1">'[1]経営指標データ'!$U$17:$Y$17</definedName>
    <definedName name="_7__123Graph_Aｸﾞﾗﾌ_14" hidden="1">'[1]B'!$I$52:$N$52</definedName>
    <definedName name="_70__123Graph_Xｸﾞﾗﾌ_8" hidden="1">'[1]経営指標データ'!$U$33:$Y$33</definedName>
    <definedName name="_71__123Graph_Xｸﾞﾗﾌ_9" hidden="1">'[1]経営指標データ'!$U$51:$Y$51</definedName>
    <definedName name="_Fill" hidden="1">#REF!</definedName>
    <definedName name="_Key1" hidden="1">#REF!</definedName>
    <definedName name="_Key2" hidden="1">#REF!</definedName>
    <definedName name="_Order1" hidden="1">0</definedName>
    <definedName name="_Order2" hidden="1">0</definedName>
    <definedName name="_Sort" hidden="1">#REF!</definedName>
    <definedName name="aaa" hidden="1">#REF!</definedName>
    <definedName name="ａｉ" hidden="1">{"日別最高気温",#N/A,FALSE,"最高気"}</definedName>
    <definedName name="aii" hidden="1">{"日別最高気温",#N/A,FALSE,"最高気"}</definedName>
    <definedName name="Data">#REF!</definedName>
    <definedName name="ｆｒ" hidden="1">{"日別最高気温",#N/A,FALSE,"最高気"}</definedName>
    <definedName name="HTML_CodePage" hidden="1">932</definedName>
    <definedName name="HTML_Control" hidden="1">{"'２'!$B$1:$L$40"}</definedName>
    <definedName name="HTML_Description" hidden="1">""</definedName>
    <definedName name="HTML_Email" hidden="1">""</definedName>
    <definedName name="HTML_Header" hidden="1">"２"</definedName>
    <definedName name="HTML_LastUpdate" hidden="1">"99/10/18"</definedName>
    <definedName name="HTML_LineAfter" hidden="1">FALSE</definedName>
    <definedName name="HTML_LineBefore" hidden="1">FALSE</definedName>
    <definedName name="HTML_Name" hidden="1">"小寺　輝明"</definedName>
    <definedName name="HTML_OBDlg2" hidden="1">TRUE</definedName>
    <definedName name="HTML_OBDlg4" hidden="1">TRUE</definedName>
    <definedName name="HTML_OS" hidden="1">0</definedName>
    <definedName name="HTML_PathFile" hidden="1">"D:\変換元\MyHTML.htm"</definedName>
    <definedName name="HTML_Title" hidden="1">"こてらテスト"</definedName>
    <definedName name="HTML1_1" hidden="1">"'[新通統97.XLS]レタ－'!$A$20:$F$48"</definedName>
    <definedName name="HTML1_10" hidden="1">""</definedName>
    <definedName name="HTML1_11" hidden="1">1</definedName>
    <definedName name="HTML1_12" hidden="1">"I:\通関統計.HTM"</definedName>
    <definedName name="HTML1_2" hidden="1">1</definedName>
    <definedName name="HTML1_3" hidden="1">"新通統97.XL"</definedName>
    <definedName name="HTML1_4" hidden="1">"レタ－"</definedName>
    <definedName name="HTML1_5" hidden="1">""</definedName>
    <definedName name="HTML1_6" hidden="1">-4146</definedName>
    <definedName name="HTML1_7" hidden="1">-4146</definedName>
    <definedName name="HTML1_8" hidden="1">"98/03/02"</definedName>
    <definedName name="HTML1_9" hidden="1">"LNG課"</definedName>
    <definedName name="HTMLCount" hidden="1">1</definedName>
    <definedName name="iii" hidden="1">#REF!</definedName>
    <definedName name="kaki" hidden="1">#REF!</definedName>
    <definedName name="se" hidden="1">{"日別最高気温",#N/A,FALSE,"最高気"}</definedName>
    <definedName name="syuusei" hidden="1">{"日別最高気温",#N/A,FALSE,"最高気"}</definedName>
    <definedName name="wrn.日別最高気温印刷." hidden="1">{"日別最高気温",#N/A,FALSE,"最高気"}</definedName>
    <definedName name="あれれ" hidden="1">#REF!</definedName>
    <definedName name="カタログ" hidden="1">#REF!</definedName>
    <definedName name="じくうけ" hidden="1">{"'２'!$B$1:$L$40"}</definedName>
    <definedName name="スケール２" hidden="1">{"'２'!$B$1:$L$40"}</definedName>
    <definedName name="せ" hidden="1">{"日別最高気温",#N/A,FALSE,"最高気"}</definedName>
    <definedName name="ユニット">#REF!</definedName>
    <definedName name="愛知県">入力F_設定!$S$3</definedName>
    <definedName name="危機期" hidden="1">{"日別最高気温",#N/A,FALSE,"最高気"}</definedName>
    <definedName name="岐阜県">入力F_設定!$O$3:$O$6</definedName>
    <definedName name="岐阜市">入力F_設定!$O$3:$O$6</definedName>
    <definedName name="京都府">入力F_設定!$I$3:$I$38</definedName>
    <definedName name="空欄" hidden="1">#REF!</definedName>
    <definedName name="最大分析" hidden="1">{"日別最高気温",#N/A,FALSE,"最高気"}</definedName>
    <definedName name="三重県">入力F_設定!$P$3:$P$14</definedName>
    <definedName name="滋賀県">入力F_設定!$H$3:$H$21</definedName>
    <definedName name="修正後" hidden="1">{"日別最高気温",#N/A,FALSE,"最高気"}</definedName>
    <definedName name="集約需要家ID">#REF!</definedName>
    <definedName name="新潟県">#REF!</definedName>
    <definedName name="棲み分け" hidden="1">{"'２'!$B$1:$L$40"}</definedName>
    <definedName name="静岡県">#REF!</definedName>
    <definedName name="石川県">入力F_設定!$T$3</definedName>
    <definedName name="大阪府">入力F_設定!$J$3:$J$74</definedName>
    <definedName name="長野県">入力F_設定!$R$3</definedName>
    <definedName name="都道府県">#REF!</definedName>
    <definedName name="奈良県">入力F_設定!$L$3:$L$41</definedName>
    <definedName name="富山県">入力F_設定!$Q$3</definedName>
    <definedName name="福井県">入力F_設定!$N$3:$N$10</definedName>
    <definedName name="兵庫県">入力F_設定!$K$3:$K$51</definedName>
    <definedName name="要綱" hidden="1">{"'２'!$B$1:$L$40"}</definedName>
    <definedName name="和歌山県">入力F_設定!$M$3:$M$32</definedName>
  </definedName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tc={DD0E4BDA-3D59-45AA-8DE6-0DF738F12FD6}</author>
    <author>tc={3E2A40B1-666E-46FF-B2D8-D7012978595A}</author>
    <author>tc={622147F3-9498-4A18-BA04-3B381EE7F73E}</author>
    <author>tc={CC49310D-8F1E-481B-B753-84C65485A677}</author>
    <author>tc={1BCABD9A-FE39-479A-AA27-791C4B7A7ADA}</author>
    <author>tc={089B867A-041E-4080-837A-8C73B8D4FEC8}</author>
    <author>tc={F27CFA97-2E67-4BC9-9CEB-DCE7F1CFD9BB}</author>
  </authors>
  <commentList>
    <comment ref="L14" authorId="0" xr:uid="{DD0E4BDA-3D59-45AA-8DE6-0DF738F12FD6}">
      <text>
        <r>
          <rPr>
            <b/>
            <sz val="9"/>
            <rFont val="Tahoma"/>
          </rPr>
          <t>作成者:</t>
        </r>
        <r>
          <rPr>
            <sz val="9"/>
            <rFont val="Tahoma"/>
          </rPr>
          <t xml:space="preserve">
都道府県を選択してください
</t>
        </r>
      </text>
    </comment>
    <comment ref="Q14" authorId="1" xr:uid="{3E2A40B1-666E-46FF-B2D8-D7012978595A}">
      <text>
        <r>
          <rPr>
            <b/>
            <sz val="9"/>
            <rFont val="Tahoma"/>
          </rPr>
          <t>作成者:</t>
        </r>
        <r>
          <rPr>
            <sz val="9"/>
            <rFont val="Tahoma"/>
          </rPr>
          <t xml:space="preserve">
市区町村を選択してください
</t>
        </r>
      </text>
    </comment>
    <comment ref="X14" authorId="2" xr:uid="{622147F3-9498-4A18-BA04-3B381EE7F73E}">
      <text>
        <r>
          <rPr>
            <b/>
            <sz val="9"/>
            <rFont val="Tahoma"/>
          </rPr>
          <t>作成者:</t>
        </r>
        <r>
          <rPr>
            <sz val="9"/>
            <rFont val="Tahoma"/>
          </rPr>
          <t xml:space="preserve">
・番地以降を入力してください。
・市区町村で「その他」を選択の場合は市区町村以降をご記入ください。
</t>
        </r>
      </text>
    </comment>
    <comment ref="AT14" authorId="3" xr:uid="{CC49310D-8F1E-481B-B753-84C65485A677}">
      <text>
        <r>
          <rPr>
            <b/>
            <sz val="9"/>
            <rFont val="Tahoma"/>
          </rPr>
          <t>作成者:</t>
        </r>
        <r>
          <rPr>
            <sz val="9"/>
            <rFont val="Tahoma"/>
          </rPr>
          <t xml:space="preserve">
都道府県を選択してください
</t>
        </r>
      </text>
    </comment>
    <comment ref="AY14" authorId="4" xr:uid="{1BCABD9A-FE39-479A-AA27-791C4B7A7ADA}">
      <text>
        <r>
          <rPr>
            <b/>
            <sz val="9"/>
            <rFont val="Tahoma"/>
          </rPr>
          <t>作成者:</t>
        </r>
        <r>
          <rPr>
            <sz val="9"/>
            <rFont val="Tahoma"/>
          </rPr>
          <t xml:space="preserve">
市区町村を選択してください
</t>
        </r>
      </text>
    </comment>
    <comment ref="BF14" authorId="5" xr:uid="{089B867A-041E-4080-837A-8C73B8D4FEC8}">
      <text>
        <r>
          <rPr>
            <b/>
            <sz val="9"/>
            <rFont val="Tahoma"/>
          </rPr>
          <t>作成者:</t>
        </r>
        <r>
          <rPr>
            <sz val="9"/>
            <rFont val="Tahoma"/>
          </rPr>
          <t xml:space="preserve">
・番地以降を入力してください。
・市区町村で「その他」を選択の場合は市区町村以降をご記入ください。
</t>
        </r>
      </text>
    </comment>
    <comment ref="L17" authorId="6" xr:uid="{F27CFA97-2E67-4BC9-9CEB-DCE7F1CFD9BB}">
      <text>
        <r>
          <rPr>
            <b/>
            <sz val="9"/>
            <rFont val="Tahoma"/>
          </rPr>
          <t>作成者:</t>
        </r>
        <r>
          <rPr>
            <sz val="9"/>
            <rFont val="Tahoma"/>
          </rPr>
          <t xml:space="preserve">
自動判定
</t>
        </r>
      </text>
    </comment>
  </commentList>
</comments>
</file>

<file path=xl/sharedStrings.xml><?xml version="1.0" encoding="utf-8"?>
<sst xmlns="http://schemas.openxmlformats.org/spreadsheetml/2006/main" count="398" uniqueCount="398">
  <si>
    <t>*黄色ハッチング箇所が必須入力項目になります。</t>
  </si>
  <si>
    <t>【入力例】</t>
  </si>
  <si>
    <t>申込月日*</t>
  </si>
  <si>
    <t>2026/08/XX</t>
  </si>
  <si>
    <t>申込月日</t>
  </si>
  <si>
    <t>****/**/**　</t>
  </si>
  <si>
    <t>【申込者概要】</t>
  </si>
  <si>
    <t>会社名*</t>
  </si>
  <si>
    <t xml:space="preserve">（法人名 未定：一般社団法人Mitsue-it 設立準備中）</t>
  </si>
  <si>
    <t>会社名</t>
  </si>
  <si>
    <t>〇〇〇〇株式会社</t>
  </si>
  <si>
    <t>所在地*</t>
  </si>
  <si>
    <t>所在地</t>
  </si>
  <si>
    <t>大阪府大阪市〇〇〇　〇-〇</t>
  </si>
  <si>
    <t>所属・担当者*</t>
  </si>
  <si>
    <t xml:space="preserve">Rob Oudendijk</t>
  </si>
  <si>
    <t>所属・担当者</t>
  </si>
  <si>
    <t>〇〇　〇〇</t>
  </si>
  <si>
    <t>E-mail*</t>
  </si>
  <si>
    <t>oudendijk.biz@gmail.com</t>
  </si>
  <si>
    <t>E-mail</t>
  </si>
  <si>
    <t>*****@***.co.jp</t>
  </si>
  <si>
    <t>電話番号*</t>
  </si>
  <si>
    <t>電話番号</t>
  </si>
  <si>
    <t>〇〇〇-〇〇〇〇</t>
  </si>
  <si>
    <t>FAX</t>
  </si>
  <si>
    <t>【発電設備概要】</t>
  </si>
  <si>
    <t>発電設備等の設置場所*</t>
  </si>
  <si>
    <t>都道府県</t>
  </si>
  <si>
    <t>市区町村</t>
  </si>
  <si>
    <t>番地以降</t>
  </si>
  <si>
    <t>奈良県</t>
  </si>
  <si>
    <t>宇陀郡御杖村</t>
  </si>
  <si>
    <t>大字神末797</t>
  </si>
  <si>
    <t>大阪府</t>
  </si>
  <si>
    <t>大阪市北区</t>
  </si>
  <si>
    <t>〇〇〇〇丁目ー〇</t>
  </si>
  <si>
    <t>発電設備等の設置場所（緯度経度）*</t>
  </si>
  <si>
    <t>緯度</t>
  </si>
  <si>
    <t>経度</t>
  </si>
  <si>
    <t>緯度経度取得方法はこちら</t>
  </si>
  <si>
    <t>34.〇〇〇〇〇〇</t>
  </si>
  <si>
    <t>135.〇〇〇〇〇〇</t>
  </si>
  <si>
    <t>発電設備等設置場所の位置図貼付け要否</t>
  </si>
  <si>
    <t>"要"の場合は「申込書」シートへ位置図貼付けをお願いします。</t>
  </si>
  <si>
    <t>発電設備等の種類*</t>
  </si>
  <si>
    <t>バイオマス（未利用木質）</t>
  </si>
  <si>
    <t>発電設備等の種類</t>
  </si>
  <si>
    <t>太陽光</t>
  </si>
  <si>
    <t>発電設備等容量*</t>
  </si>
  <si>
    <t>kW</t>
  </si>
  <si>
    <t>発電設備等容量</t>
  </si>
  <si>
    <t>自家消費電力</t>
  </si>
  <si>
    <t>最大受電電力*</t>
  </si>
  <si>
    <t>最大受電電力</t>
  </si>
  <si>
    <t>【連系先概要】</t>
  </si>
  <si>
    <t xml:space="preserve">連系先一般送配電事業者
又は配電事業者*</t>
  </si>
  <si>
    <t>関西電力送配電株式会社</t>
  </si>
  <si>
    <t xml:space="preserve">連系先一般送配電事業者
又は配電事業者</t>
  </si>
  <si>
    <t>希望連系点</t>
  </si>
  <si>
    <t>高圧連系</t>
  </si>
  <si>
    <t>電柱番号</t>
  </si>
  <si>
    <t>掛(奈CP)または長野(奈CO)変電所付近を希望・詳細未定</t>
  </si>
  <si>
    <t>関西　２１号</t>
  </si>
  <si>
    <t>特高連系</t>
  </si>
  <si>
    <t>-</t>
  </si>
  <si>
    <t>希望受電電圧*</t>
  </si>
  <si>
    <t>kV</t>
  </si>
  <si>
    <t>希望受電電圧</t>
  </si>
  <si>
    <t>標準外を希望する</t>
  </si>
  <si>
    <t>事前相談申込書</t>
  </si>
  <si>
    <t>添付書類１</t>
  </si>
  <si>
    <t>添付書類２</t>
  </si>
  <si>
    <t xml:space="preserve">様式 CK1-20240801</t>
  </si>
  <si>
    <t>◆発電設備等設置場所の緯度経度情報および位置図</t>
  </si>
  <si>
    <t>申込日</t>
  </si>
  <si>
    <t>御中</t>
  </si>
  <si>
    <t>発電設備等の設置場所（緯度経度）</t>
  </si>
  <si>
    <t>(緯度)</t>
  </si>
  <si>
    <t>(経度)</t>
  </si>
  <si>
    <t>１．申込みの概要</t>
  </si>
  <si>
    <t>※以下のスペースに貼り付けてください。</t>
  </si>
  <si>
    <t>依頼者</t>
  </si>
  <si>
    <t xml:space="preserve">発電設備等の
設置場所</t>
  </si>
  <si>
    <t>希望連系点※1</t>
  </si>
  <si>
    <t>最大受電電力※2</t>
  </si>
  <si>
    <t>希望受電電圧※3</t>
  </si>
  <si>
    <t xml:space="preserve">※1 希望する送配電設備の連系点がありましたら、電柱番号・送電線名等をご記入ください。
※2 電力系統側に流出する最大電力（発電設備容量－自家消費電力）をご記入ください（自家消費電力が不明の場合は記入不要です。）。
※3 希望する連系電圧をご記入ください。
</t>
  </si>
  <si>
    <t xml:space="preserve">２．添付書類 （※添付書類がある場合のみご記入ください。）</t>
  </si>
  <si>
    <t>　・　発電設備等設置場所の緯度経度情報および位置図</t>
  </si>
  <si>
    <t xml:space="preserve">＜注意事項＞
・ 特別高圧以上の送電系統に関しては、各一般送配電事業者がホームページ上で公表している系統
　 連系制約マッピング情報でも連系制限が想定される地域を確認することができます。
・ 申込書１枚につき１箇所の連系点について確認いたします。検討料は不要です。
・ 本申込書に対する回答内容は以下のとおりです。
【希望受電電圧が高圧であって、配電用変電所が存在する送電系統の場合】
　(1)配電用変電所における配電用変圧器の熱容量に起因する連系制限の有無。連系制限がある場合
　　には配電用変電所における配電用変圧器の熱容量から算定される連系可能な最大受電電力
　(2)最大受電電力に対してバンク逆潮流（配電用変電所における配電用変圧器の高圧側から特別高
　　圧側に流れる潮流をいいます。）の発生に伴う連系制限がある場合は、バンク逆潮流の対策工事
　　を実施せずに連系可能な最大受電電力。
　(3)想定する連系点から連系を予定する配電用変電所までの既設配電線路亘長
【希望受電電圧が高圧であって、配電用変電所が存在しない一部の離島系統の場合】
　(1)高圧流通設備の熱容量に起因する連系制限の有無。連系制限がある場合には高圧流通設備の熱
　　容量から算定される連系可能な最大受電電力
　(2)想定する連系点から始点となる電気所までの既設高圧流通設備の線路亘長
【希望受電電圧が特別高圧である場合】
　(1)送変電設備の熱容量に起因する連系制限の有無。連系制限がある場合には送変電設備の熱容量
　　から算定される連系可能な最大受電電力
　(2)想定する連系点から発電設備等の設置場所までの直線距離
・本申込書に対する回答内容は、希望する送電系統への連系可否を確定するものではありません。
・本申込書により得た依頼者等の情報については、連系制限有無の確認および申込状況の管理、統計
  に使用されます。また、電力広域的運営推進機関の送配電等業務指針に基づき、一般送配電事業者
  又は配電事業者に依頼された申込内容の一部を電力広域的運営推進機関に報告する場合があります。
　※　連系制限とは既設送変電設備の空き容量不足等により設備増強（アクセス線新設を除く）が必要な場合をいいます。</t>
  </si>
  <si>
    <t>以　上</t>
  </si>
  <si>
    <t>目的外使用・開示禁止</t>
  </si>
  <si>
    <t>緯度経度情報の取得について</t>
  </si>
  <si>
    <t>　受電希望地点の緯度経度情報をご提示いただくことで、住所情報で検討するより精度の高い回答が可能となります。</t>
  </si>
  <si>
    <t>・発電設備等の設置場所（受電希望地点）の緯度経度を任意の方法で取得してください。</t>
  </si>
  <si>
    <t xml:space="preserve">＜Google mapからの取得方法はこちら＞⇒</t>
  </si>
  <si>
    <t>リンク</t>
  </si>
  <si>
    <t>＜国土地理院地図からの取得方法はこちら＞⇒</t>
  </si>
  <si>
    <t>・緯度経度は10進法で記入をお願いします。</t>
  </si>
  <si>
    <t xml:space="preserve">10進法：(緯度)〇〇.〇〇〇〇 (経度)〇〇〇.〇〇〇〇　</t>
  </si>
  <si>
    <t xml:space="preserve">60進法：(緯度)〇〇度〇〇分〇〇秒 (経度)〇〇〇度〇〇分〇〇秒</t>
  </si>
  <si>
    <t>　※60進法で取得された場合は以下黄色枠へ数値入力し、10進法へ変換のうえ記入をお願いします。</t>
  </si>
  <si>
    <t>＜60進法→10進法変換表＞</t>
  </si>
  <si>
    <t>入力欄</t>
  </si>
  <si>
    <t>変換結果</t>
  </si>
  <si>
    <t>60進法</t>
  </si>
  <si>
    <t>10進法</t>
  </si>
  <si>
    <t>←変換結果を入力フォームへ入力してください。</t>
  </si>
  <si>
    <t>例</t>
  </si>
  <si>
    <t>34度41分33.46秒</t>
  </si>
  <si>
    <t>135度29分32.95秒</t>
  </si>
  <si>
    <t>関西電力送配電社内利用シート</t>
  </si>
  <si>
    <t>関西電力送配電社内の検討用として活用します。</t>
  </si>
  <si>
    <t>●発電設備等設置場所特定</t>
  </si>
  <si>
    <t>●入力内容転記用</t>
  </si>
  <si>
    <t>要</t>
  </si>
  <si>
    <t>1-1999</t>
  </si>
  <si>
    <t>2000-9999</t>
  </si>
  <si>
    <t>10000以上</t>
  </si>
  <si>
    <t>標準外</t>
  </si>
  <si>
    <t>22(33)</t>
  </si>
  <si>
    <t>滋賀県</t>
  </si>
  <si>
    <t>京都府</t>
  </si>
  <si>
    <t>兵庫県</t>
  </si>
  <si>
    <t>和歌山県</t>
  </si>
  <si>
    <t>福井県</t>
  </si>
  <si>
    <t>岐阜県</t>
  </si>
  <si>
    <t>三重県</t>
  </si>
  <si>
    <t>富山県</t>
  </si>
  <si>
    <t>長野県</t>
  </si>
  <si>
    <t>愛知県</t>
  </si>
  <si>
    <t>石川県</t>
  </si>
  <si>
    <t>その他</t>
  </si>
  <si>
    <t>大津市</t>
  </si>
  <si>
    <t>京都市北区</t>
  </si>
  <si>
    <t>大阪市都島区</t>
  </si>
  <si>
    <t>神戸市東灘区</t>
  </si>
  <si>
    <t>奈良市</t>
  </si>
  <si>
    <t>和歌山市</t>
  </si>
  <si>
    <t>小浜市</t>
  </si>
  <si>
    <t>不破郡関ケ原町</t>
  </si>
  <si>
    <t>熊野市</t>
  </si>
  <si>
    <t>彦根市</t>
  </si>
  <si>
    <t>京都市上京区</t>
  </si>
  <si>
    <t>大阪市福島区</t>
  </si>
  <si>
    <t>神戸市灘区</t>
  </si>
  <si>
    <t>大和高田市</t>
  </si>
  <si>
    <t>海南市</t>
  </si>
  <si>
    <t>大飯郡おおい町</t>
  </si>
  <si>
    <t>高山市</t>
  </si>
  <si>
    <t>南牟婁郡紀宝町</t>
  </si>
  <si>
    <t>長浜市</t>
  </si>
  <si>
    <t>京都市左京区</t>
  </si>
  <si>
    <t>大阪市此花区</t>
  </si>
  <si>
    <t>神戸市兵庫区</t>
  </si>
  <si>
    <t>大和郡山市</t>
  </si>
  <si>
    <t>橋本市</t>
  </si>
  <si>
    <t>大飯郡高浜町</t>
  </si>
  <si>
    <t>飛騨市</t>
  </si>
  <si>
    <t>南牟婁郡御浜町</t>
  </si>
  <si>
    <t>近江八幡市</t>
  </si>
  <si>
    <t>京都市中京区</t>
  </si>
  <si>
    <t>大阪市西区</t>
  </si>
  <si>
    <t>神戸市長田区</t>
  </si>
  <si>
    <t>天理市</t>
  </si>
  <si>
    <t>有田市</t>
  </si>
  <si>
    <t>三方郡美浜町</t>
  </si>
  <si>
    <t>いなべ市</t>
  </si>
  <si>
    <t>草津市</t>
  </si>
  <si>
    <t>京都市東山区</t>
  </si>
  <si>
    <t>大阪市港区</t>
  </si>
  <si>
    <t>神戸市須磨区</t>
  </si>
  <si>
    <t>橿原市</t>
  </si>
  <si>
    <t>御坊市</t>
  </si>
  <si>
    <t>三方上中郡若狭町</t>
  </si>
  <si>
    <t>員弁郡東員町</t>
  </si>
  <si>
    <t>守山市</t>
  </si>
  <si>
    <t>京都市下京区</t>
  </si>
  <si>
    <t>大阪市大正区</t>
  </si>
  <si>
    <t>神戸市垂水区</t>
  </si>
  <si>
    <t>桜井市</t>
  </si>
  <si>
    <t>田辺市</t>
  </si>
  <si>
    <t>吉田郡永平寺町</t>
  </si>
  <si>
    <t>桑名郡木曽岬町</t>
  </si>
  <si>
    <t>栗東市</t>
  </si>
  <si>
    <t>京都市南区</t>
  </si>
  <si>
    <t>大阪市天王寺区</t>
  </si>
  <si>
    <t>神戸市北区</t>
  </si>
  <si>
    <t>五條市</t>
  </si>
  <si>
    <t>新宮市</t>
  </si>
  <si>
    <t>坂井市</t>
  </si>
  <si>
    <t>桑名市</t>
  </si>
  <si>
    <t>甲賀市</t>
  </si>
  <si>
    <t>京都市右京区</t>
  </si>
  <si>
    <t>大阪市浪速区</t>
  </si>
  <si>
    <t>神戸市中央区</t>
  </si>
  <si>
    <t>御所市</t>
  </si>
  <si>
    <t>紀の川市</t>
  </si>
  <si>
    <t>三重郡朝日町</t>
  </si>
  <si>
    <t>野洲市</t>
  </si>
  <si>
    <t>京都市伏見区</t>
  </si>
  <si>
    <t>大阪市西淀川区</t>
  </si>
  <si>
    <t>神戸市西区</t>
  </si>
  <si>
    <t>生駒市</t>
  </si>
  <si>
    <t>岩出市</t>
  </si>
  <si>
    <t>三重郡川越町</t>
  </si>
  <si>
    <t>湖南市</t>
  </si>
  <si>
    <t>京都市山科区</t>
  </si>
  <si>
    <t>大阪市東淀川区</t>
  </si>
  <si>
    <t>姫路市</t>
  </si>
  <si>
    <t>香芝市</t>
  </si>
  <si>
    <t>海草郡紀美野町</t>
  </si>
  <si>
    <t>三重郡菰野町</t>
  </si>
  <si>
    <t>高島市</t>
  </si>
  <si>
    <t>京都市西京区</t>
  </si>
  <si>
    <t>大阪市東成区</t>
  </si>
  <si>
    <t>尼崎市</t>
  </si>
  <si>
    <t>葛城市</t>
  </si>
  <si>
    <t>伊都郡かつらぎ町</t>
  </si>
  <si>
    <t>四日市市</t>
  </si>
  <si>
    <t>東近江市</t>
  </si>
  <si>
    <t>福知山市</t>
  </si>
  <si>
    <t>大阪市生野区</t>
  </si>
  <si>
    <t>明石市</t>
  </si>
  <si>
    <t>宇陀市</t>
  </si>
  <si>
    <t>伊都郡九度山町</t>
  </si>
  <si>
    <t>米原市</t>
  </si>
  <si>
    <t>舞鶴市</t>
  </si>
  <si>
    <t>大阪市旭区</t>
  </si>
  <si>
    <t>西宮市</t>
  </si>
  <si>
    <t>山辺郡山添村</t>
  </si>
  <si>
    <t>伊都郡高野町</t>
  </si>
  <si>
    <t>日野町</t>
  </si>
  <si>
    <t>綾部市</t>
  </si>
  <si>
    <t>大阪市城東区</t>
  </si>
  <si>
    <t>洲本市</t>
  </si>
  <si>
    <t>生駒郡平群町</t>
  </si>
  <si>
    <t>有田郡湯浅町</t>
  </si>
  <si>
    <t>竜王町</t>
  </si>
  <si>
    <t>宇治市</t>
  </si>
  <si>
    <t>大阪市阿倍野区</t>
  </si>
  <si>
    <t>芦屋市</t>
  </si>
  <si>
    <t>生駒郡三郷町</t>
  </si>
  <si>
    <t>有田郡広川町</t>
  </si>
  <si>
    <t>愛荘町</t>
  </si>
  <si>
    <t>宮津市</t>
  </si>
  <si>
    <t>大阪市住吉区</t>
  </si>
  <si>
    <t>伊丹市</t>
  </si>
  <si>
    <t>生駒郡斑鳩町</t>
  </si>
  <si>
    <t>有田郡有田川町</t>
  </si>
  <si>
    <t>豊郷町</t>
  </si>
  <si>
    <t>亀岡市</t>
  </si>
  <si>
    <t>大阪市東住吉区</t>
  </si>
  <si>
    <t>相生市</t>
  </si>
  <si>
    <t>生駒郡安堵町</t>
  </si>
  <si>
    <t>日高郡美浜町</t>
  </si>
  <si>
    <t>甲良町</t>
  </si>
  <si>
    <t>城陽市</t>
  </si>
  <si>
    <t>大阪市西成区</t>
  </si>
  <si>
    <t>豊岡市</t>
  </si>
  <si>
    <t>磯城郡川西町</t>
  </si>
  <si>
    <t>日高郡日高町</t>
  </si>
  <si>
    <t>多賀町</t>
  </si>
  <si>
    <t>向日市</t>
  </si>
  <si>
    <t>大阪市淀川区</t>
  </si>
  <si>
    <t>加古川市</t>
  </si>
  <si>
    <t>磯城郡三宅町</t>
  </si>
  <si>
    <t>日高郡由良町</t>
  </si>
  <si>
    <t>長岡京市</t>
  </si>
  <si>
    <t>大阪市鶴見区</t>
  </si>
  <si>
    <t>赤穂市</t>
  </si>
  <si>
    <t>磯城郡田原本町</t>
  </si>
  <si>
    <t>日高郡印南町</t>
  </si>
  <si>
    <t>八幡市</t>
  </si>
  <si>
    <t>大阪市住之江区</t>
  </si>
  <si>
    <t>西脇市</t>
  </si>
  <si>
    <t>宇陀郡曽爾村</t>
  </si>
  <si>
    <t>日高郡みなべ町</t>
  </si>
  <si>
    <t>京田辺市</t>
  </si>
  <si>
    <t>大阪市平野区</t>
  </si>
  <si>
    <t>宝塚市</t>
  </si>
  <si>
    <t>日高郡日高川町</t>
  </si>
  <si>
    <t>京丹後市</t>
  </si>
  <si>
    <t>三木市</t>
  </si>
  <si>
    <t>高市郡高取町</t>
  </si>
  <si>
    <t>西牟婁郡白浜町</t>
  </si>
  <si>
    <t>南丹市</t>
  </si>
  <si>
    <t>大阪市中央区</t>
  </si>
  <si>
    <t>高砂市</t>
  </si>
  <si>
    <t>高市郡明日香村</t>
  </si>
  <si>
    <t>西牟婁郡上富田町</t>
  </si>
  <si>
    <t>木津川市</t>
  </si>
  <si>
    <t>堺市堺区</t>
  </si>
  <si>
    <t>川西市</t>
  </si>
  <si>
    <t>北葛城郡上牧町</t>
  </si>
  <si>
    <t>西牟婁郡すさみ町</t>
  </si>
  <si>
    <t>乙訓郡大山崎町</t>
  </si>
  <si>
    <t>堺市中区</t>
  </si>
  <si>
    <t>小野市</t>
  </si>
  <si>
    <t>北葛城郡王寺町</t>
  </si>
  <si>
    <t>東牟婁郡那智勝浦町</t>
  </si>
  <si>
    <t>久世郡久御山町</t>
  </si>
  <si>
    <t>堺市東区</t>
  </si>
  <si>
    <t>三田市</t>
  </si>
  <si>
    <t>北葛城郡広陵町</t>
  </si>
  <si>
    <t>東牟婁郡太地町</t>
  </si>
  <si>
    <t>綴喜郡井手町</t>
  </si>
  <si>
    <t>堺市西区</t>
  </si>
  <si>
    <t>加西市</t>
  </si>
  <si>
    <t>北葛城郡河合町</t>
  </si>
  <si>
    <t>東牟婁郡古座川町</t>
  </si>
  <si>
    <t>綴喜郡宇治田原町</t>
  </si>
  <si>
    <t>堺市南区</t>
  </si>
  <si>
    <t>丹波篠山市</t>
  </si>
  <si>
    <t>吉野郡吉野町</t>
  </si>
  <si>
    <t>東牟婁郡北山村</t>
  </si>
  <si>
    <t>相楽郡笠置町</t>
  </si>
  <si>
    <t>堺市北区</t>
  </si>
  <si>
    <t>養父市</t>
  </si>
  <si>
    <t>吉野郡大淀町</t>
  </si>
  <si>
    <t>東牟婁郡串本町</t>
  </si>
  <si>
    <t>相楽郡和束町</t>
  </si>
  <si>
    <t>堺市美原区</t>
  </si>
  <si>
    <t>丹波市</t>
  </si>
  <si>
    <t>吉野郡下市町</t>
  </si>
  <si>
    <t>相楽郡精華町</t>
  </si>
  <si>
    <t>岸和田市</t>
  </si>
  <si>
    <t>南あわじ市</t>
  </si>
  <si>
    <t>吉野郡黒滝村</t>
  </si>
  <si>
    <t>相楽郡南山城村</t>
  </si>
  <si>
    <t>豊中市</t>
  </si>
  <si>
    <t>朝来市</t>
  </si>
  <si>
    <t>吉野郡天川村</t>
  </si>
  <si>
    <t>船井郡京丹波町</t>
  </si>
  <si>
    <t>池田市</t>
  </si>
  <si>
    <t>淡路市</t>
  </si>
  <si>
    <t>吉野郡野迫川村</t>
  </si>
  <si>
    <t>与謝郡伊根町</t>
  </si>
  <si>
    <t>吹田市</t>
  </si>
  <si>
    <t>宍粟市</t>
  </si>
  <si>
    <t>吉野郡十津川村</t>
  </si>
  <si>
    <t>与謝郡与謝野町</t>
  </si>
  <si>
    <t>泉大津市</t>
  </si>
  <si>
    <t>加東市</t>
  </si>
  <si>
    <t>吉野郡下北山村</t>
  </si>
  <si>
    <t>高槻市</t>
  </si>
  <si>
    <t>たつの市</t>
  </si>
  <si>
    <t>吉野郡上北山村</t>
  </si>
  <si>
    <t>貝塚市</t>
  </si>
  <si>
    <t>川辺郡猪名川町</t>
  </si>
  <si>
    <t>吉野郡川上村</t>
  </si>
  <si>
    <t>守口市</t>
  </si>
  <si>
    <t>多可郡多可町</t>
  </si>
  <si>
    <t>吉野郡東吉野村</t>
  </si>
  <si>
    <t>枚方市</t>
  </si>
  <si>
    <t>加古郡稲美町</t>
  </si>
  <si>
    <t>茨木市</t>
  </si>
  <si>
    <t>加古郡播磨町</t>
  </si>
  <si>
    <t>八尾市</t>
  </si>
  <si>
    <t>神崎郡市川町</t>
  </si>
  <si>
    <t>泉佐野市</t>
  </si>
  <si>
    <t>神崎郡福崎町</t>
  </si>
  <si>
    <t>富田林市</t>
  </si>
  <si>
    <t>神崎郡神河町</t>
  </si>
  <si>
    <t>寝屋川市</t>
  </si>
  <si>
    <t>揖保郡太子町</t>
  </si>
  <si>
    <t>河内長野市</t>
  </si>
  <si>
    <t>赤穂郡上郡町</t>
  </si>
  <si>
    <t>松原市</t>
  </si>
  <si>
    <t>佐用郡佐用町</t>
  </si>
  <si>
    <t>大東市</t>
  </si>
  <si>
    <t>美方郡香美町</t>
  </si>
  <si>
    <t>和泉市</t>
  </si>
  <si>
    <t>美方郡新温泉町</t>
  </si>
  <si>
    <t>箕面市</t>
  </si>
  <si>
    <t>柏原市</t>
  </si>
  <si>
    <t>羽曳野市</t>
  </si>
  <si>
    <t>門真市</t>
  </si>
  <si>
    <t>摂津市</t>
  </si>
  <si>
    <t>高石市</t>
  </si>
  <si>
    <t>藤井寺市</t>
  </si>
  <si>
    <t>東大阪市</t>
  </si>
  <si>
    <t>泉南市</t>
  </si>
  <si>
    <t>四條畷市</t>
  </si>
  <si>
    <t>交野市</t>
  </si>
  <si>
    <t>大阪狭山市</t>
  </si>
  <si>
    <t>阪南市</t>
  </si>
  <si>
    <t>三島郡島本町</t>
  </si>
  <si>
    <t>豊能郡豊能町</t>
  </si>
  <si>
    <t>豊能郡能勢町</t>
  </si>
  <si>
    <t>泉北郡忠岡町</t>
  </si>
  <si>
    <t>泉南郡熊取町</t>
  </si>
  <si>
    <t>泉南郡田尻町</t>
  </si>
  <si>
    <t>泉南郡岬町</t>
  </si>
  <si>
    <t>南河内郡太子町</t>
  </si>
  <si>
    <t>南河内郡河南町</t>
  </si>
  <si>
    <t>南河内郡千早赤阪村</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</si>
</sst>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yyyy&quot;年&quot;m&quot;月&quot;d&quot;日&quot;;@"/>
    <numFmt numFmtId="165" formatCode="[$-411]ggge&quot;年&quot;m&quot;月&quot;d&quot;日&quot;;@"/>
    <numFmt numFmtId="166" formatCode="#,##0_ "/>
  </numFmts>
  <fonts count="42">
    <font>
      <sz val="11.000000"/>
      <color theme="1"/>
      <name val="Calibri"/>
      <scheme val="minor"/>
    </font>
    <font>
      <u/>
      <sz val="11.000000"/>
      <color theme="10"/>
      <name val="Calibri"/>
      <scheme val="minor"/>
    </font>
    <font>
      <sz val="11.000000"/>
      <name val="ＭＳ Ｐゴシック"/>
    </font>
    <font>
      <sz val="11.000000"/>
      <color theme="1"/>
      <name val="Meiryo UI"/>
    </font>
    <font>
      <b/>
      <sz val="11.000000"/>
      <color indexed="2"/>
      <name val="Meiryo UI"/>
    </font>
    <font>
      <sz val="26.000000"/>
      <color indexed="2"/>
      <name val="Calibri"/>
      <scheme val="minor"/>
    </font>
    <font>
      <sz val="11.000000"/>
      <name val="Meiryo UI"/>
    </font>
    <font>
      <sz val="11.000000"/>
      <color theme="1"/>
      <name val="ＭＳ Ｐゴシック"/>
    </font>
    <font>
      <sz val="9.000000"/>
      <color theme="1"/>
      <name val="Meiryo UI"/>
    </font>
    <font>
      <u/>
      <sz val="10.000000"/>
      <color theme="10"/>
      <name val="Calibri"/>
      <scheme val="minor"/>
    </font>
    <font>
      <sz val="9.000000"/>
      <color theme="1"/>
      <name val="ＭＳ Ｐゴシック"/>
    </font>
    <font>
      <sz val="8.000000"/>
      <color theme="1"/>
      <name val="Meiryo UI"/>
    </font>
    <font>
      <u/>
      <sz val="9.000000"/>
      <color theme="10"/>
      <name val="Calibri"/>
      <scheme val="minor"/>
    </font>
    <font>
      <sz val="10.000000"/>
      <name val="Meiryo UI"/>
    </font>
    <font>
      <b/>
      <sz val="14.000000"/>
      <color theme="1"/>
      <name val="ＭＳ ゴシック"/>
    </font>
    <font>
      <sz val="8.000000"/>
      <color theme="1"/>
      <name val="Calibri"/>
      <scheme val="minor"/>
    </font>
    <font>
      <sz val="9.000000"/>
      <color theme="1"/>
      <name val="ＭＳ ゴシック"/>
    </font>
    <font>
      <sz val="11.000000"/>
      <color theme="1"/>
      <name val="ＭＳ 明朝"/>
    </font>
    <font>
      <sz val="11.000000"/>
      <color indexed="2"/>
      <name val="Calibri"/>
      <scheme val="minor"/>
    </font>
    <font>
      <sz val="11.000000"/>
      <color theme="1"/>
      <name val="ＭＳ Ｐ明朝"/>
    </font>
    <font>
      <sz val="11.000000"/>
      <color theme="1"/>
      <name val="ＭＳ ゴシック"/>
    </font>
    <font>
      <b/>
      <sz val="11.000000"/>
      <color theme="1"/>
      <name val="ＭＳ ゴシック"/>
    </font>
    <font>
      <sz val="11.000000"/>
      <name val="Calibri"/>
      <scheme val="minor"/>
    </font>
    <font>
      <sz val="11.000000"/>
      <name val="ＭＳ 明朝"/>
    </font>
    <font>
      <sz val="10.000000"/>
      <name val="Calibri"/>
      <scheme val="minor"/>
    </font>
    <font>
      <sz val="11.000000"/>
      <color theme="1"/>
      <name val="Wingdings"/>
    </font>
    <font>
      <sz val="8.000000"/>
      <color theme="1"/>
      <name val="ＭＳ 明朝"/>
    </font>
    <font>
      <sz val="10.000000"/>
      <color theme="1"/>
      <name val="ＭＳ 明朝"/>
    </font>
    <font>
      <sz val="10.500000"/>
      <color theme="1"/>
      <name val="Calibri"/>
      <scheme val="minor"/>
    </font>
    <font>
      <sz val="10.500000"/>
      <color theme="1"/>
      <name val="ＭＳ 明朝"/>
    </font>
    <font>
      <b/>
      <u/>
      <sz val="14.000000"/>
      <name val="Meiryo UI"/>
    </font>
    <font>
      <b/>
      <sz val="11.000000"/>
      <color theme="1"/>
      <name val="Meiryo UI"/>
    </font>
    <font>
      <sz val="10.000000"/>
      <color theme="1"/>
      <name val="Meiryo UI"/>
    </font>
    <font>
      <u/>
      <sz val="11.000000"/>
      <color theme="10"/>
      <name val="Meiryo UI"/>
    </font>
    <font>
      <u/>
      <sz val="10.000000"/>
      <color theme="1"/>
      <name val="Meiryo UI"/>
    </font>
    <font>
      <sz val="10.000000"/>
      <color indexed="2"/>
      <name val="Meiryo UI"/>
    </font>
    <font>
      <sz val="9.000000"/>
      <color indexed="2"/>
      <name val="Meiryo UI"/>
    </font>
    <font>
      <b/>
      <sz val="10.000000"/>
      <color theme="1"/>
      <name val="Meiryo UI"/>
    </font>
    <font>
      <sz val="11.000000"/>
      <color indexed="2"/>
      <name val="Meiryo UI"/>
    </font>
    <font>
      <b/>
      <sz val="12.000000"/>
      <name val="Meiryo UI"/>
    </font>
    <font>
      <b/>
      <u/>
      <sz val="11.000000"/>
      <name val="Meiryo UI"/>
    </font>
    <font>
      <u/>
      <sz val="11.000000"/>
      <color theme="10"/>
      <name val="Calibri"/>
    </font>
  </fonts>
  <fills count="9">
    <fill>
      <patternFill patternType="none"/>
    </fill>
    <fill>
      <patternFill patternType="gray125"/>
    </fill>
    <fill>
      <patternFill patternType="solid">
        <fgColor theme="9" tint="0.59999389629810485"/>
      </patternFill>
    </fill>
    <fill>
      <patternFill patternType="solid">
        <fgColor theme="0"/>
      </patternFill>
    </fill>
    <fill>
      <patternFill patternType="solid">
        <fgColor rgb="FFFFC000"/>
      </patternFill>
    </fill>
    <fill>
      <patternFill patternType="solid">
        <fgColor theme="2" tint="-0.499984740745262"/>
      </patternFill>
    </fill>
    <fill>
      <patternFill patternType="solid">
        <fgColor theme="4" tint="0.79998168889431442"/>
      </patternFill>
    </fill>
    <fill>
      <patternFill patternType="solid">
        <fgColor indexed="5"/>
      </patternFill>
    </fill>
    <fill>
      <patternFill patternType="solid">
        <fgColor theme="2"/>
      </patternFill>
    </fill>
  </fills>
  <borders count="35">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none"/>
      <top style="medium">
        <color auto="1"/>
      </top>
      <bottom style="thin">
        <color auto="1"/>
      </bottom>
      <diagonal style="none"/>
    </border>
    <border>
      <left style="none"/>
      <right style="medium">
        <color auto="1"/>
      </right>
      <top style="medium">
        <color auto="1"/>
      </top>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thin">
        <color auto="1"/>
      </top>
      <bottom style="thin">
        <color auto="1"/>
      </bottom>
      <diagonal style="none"/>
    </border>
    <border>
      <left style="medium">
        <color auto="1"/>
      </left>
      <right style="medium">
        <color auto="1"/>
      </right>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thin">
        <color auto="1"/>
      </right>
      <top style="none"/>
      <bottom style="none"/>
      <diagonal style="none"/>
    </border>
    <border>
      <left style="none"/>
      <right style="thin">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thin">
        <color auto="1"/>
      </left>
      <right style="thin">
        <color auto="1"/>
      </right>
      <top style="none"/>
      <bottom style="thin">
        <color auto="1"/>
      </bottom>
      <diagonal style="none"/>
    </border>
    <border diagonalDown="1">
      <left style="thin">
        <color auto="1"/>
      </left>
      <right style="thin">
        <color auto="1"/>
      </right>
      <top style="thin">
        <color auto="1"/>
      </top>
      <bottom style="thin">
        <color auto="1"/>
      </bottom>
      <diagonal style="thin">
        <color auto="1"/>
      </diagonal>
    </border>
    <border>
      <left style="medium">
        <color auto="1"/>
      </left>
      <right style="thin">
        <color auto="1"/>
      </right>
      <top style="medium">
        <color auto="1"/>
      </top>
      <bottom style="thin">
        <color auto="1"/>
      </bottom>
      <diagonal style="none"/>
    </border>
    <border>
      <left style="none"/>
      <right style="thin">
        <color auto="1"/>
      </right>
      <top style="medium">
        <color auto="1"/>
      </top>
      <bottom style="thin">
        <color auto="1"/>
      </bottom>
      <diagonal style="none"/>
    </border>
    <border>
      <left style="medium">
        <color auto="1"/>
      </left>
      <right style="thin">
        <color auto="1"/>
      </right>
      <top style="thin">
        <color auto="1"/>
      </top>
      <bottom style="none"/>
      <diagonal style="none"/>
    </border>
    <border>
      <left style="medium">
        <color auto="1"/>
      </left>
      <right style="thin">
        <color auto="1"/>
      </right>
      <top style="medium">
        <color auto="1"/>
      </top>
      <bottom style="medium">
        <color auto="1"/>
      </bottom>
      <diagonal style="none"/>
    </border>
    <border>
      <left style="none"/>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none"/>
      <top style="thin">
        <color auto="1"/>
      </top>
      <bottom style="none"/>
      <diagonal style="none"/>
    </border>
    <border>
      <left style="thin">
        <color auto="1"/>
      </left>
      <right style="none"/>
      <top style="none"/>
      <bottom style="none"/>
      <diagonal style="none"/>
    </border>
  </borders>
  <cellStyleXfs count="8">
    <xf fontId="0" fillId="0" borderId="0" numFmtId="0" applyNumberFormat="1" applyFont="1" applyFill="1" applyBorder="1">
      <alignment vertical="center"/>
    </xf>
    <xf fontId="0" fillId="0" borderId="0" numFmtId="0" applyNumberFormat="1" applyFont="1" applyFill="1" applyBorder="1">
      <alignment vertical="center"/>
    </xf>
    <xf fontId="1" fillId="0" borderId="0" numFmtId="0" applyNumberFormat="1" applyFont="1" applyFill="1" applyBorder="1">
      <alignment vertical="center"/>
    </xf>
    <xf fontId="2" fillId="0" borderId="0" numFmtId="0" applyNumberFormat="1" applyFont="1" applyFill="1" applyBorder="1"/>
    <xf fontId="0" fillId="0" borderId="0" numFmtId="0" applyNumberFormat="1" applyFont="1" applyFill="1" applyBorder="1">
      <alignment vertical="center"/>
    </xf>
    <xf fontId="2" fillId="0" borderId="0" numFmtId="38" applyNumberFormat="1" applyFont="1" applyFill="1" applyBorder="1"/>
    <xf fontId="0" fillId="0" borderId="0" numFmtId="0" applyNumberFormat="1" applyFont="1" applyFill="1" applyBorder="1">
      <alignment vertical="center"/>
    </xf>
    <xf fontId="0" fillId="0" borderId="0" numFmtId="38" applyNumberFormat="1" applyFont="1" applyFill="1" applyBorder="1">
      <alignment vertical="center"/>
    </xf>
  </cellStyleXfs>
  <cellXfs count="177">
    <xf fontId="0" fillId="0" borderId="0" numFmtId="0" xfId="0" applyAlignment="1" quotePrefix="0" pivotButton="0">
      <alignment vertical="center"/>
    </xf>
    <xf fontId="0" fillId="0" borderId="0" numFmtId="0" xfId="0" quotePrefix="0" pivotButton="0"/>
    <xf fontId="3" fillId="0" borderId="0" numFmtId="0" xfId="0" applyFont="1" applyAlignment="1" quotePrefix="0" pivotButton="0">
      <alignment vertical="center"/>
    </xf>
    <xf fontId="4" fillId="0" borderId="0" numFmtId="0" xfId="0" applyFont="1" applyAlignment="1" quotePrefix="0" pivotButton="0">
      <alignment horizontal="left" vertical="center"/>
    </xf>
    <xf fontId="0" fillId="0" borderId="1" numFmtId="0" xfId="0" applyBorder="1" applyAlignment="1" quotePrefix="0" pivotButton="0">
      <alignment vertical="center"/>
    </xf>
    <xf fontId="0" fillId="0" borderId="2" numFmtId="0" xfId="0" applyBorder="1" applyAlignment="1" quotePrefix="0" pivotButton="0">
      <alignment vertical="center"/>
    </xf>
    <xf fontId="5" fillId="0" borderId="3" numFmtId="0" xfId="0" applyFont="1" applyBorder="1" applyAlignment="1" quotePrefix="0" pivotButton="0">
      <alignment horizontal="center" vertical="center"/>
    </xf>
    <xf fontId="0" fillId="0" borderId="3" numFmtId="0" xfId="0" applyBorder="1" quotePrefix="0" pivotButton="0"/>
    <xf fontId="0" fillId="0" borderId="4" numFmtId="0" xfId="0" applyBorder="1" applyAlignment="1" quotePrefix="0" pivotButton="0">
      <alignment vertical="center"/>
    </xf>
    <xf fontId="3" fillId="2" borderId="5" numFmtId="0" xfId="0" applyFont="1" applyFill="1" applyBorder="1" applyAlignment="1" quotePrefix="0" pivotButton="0">
      <alignment horizontal="left" vertical="center"/>
    </xf>
    <xf fontId="0" fillId="0" borderId="6" numFmtId="0" xfId="0" applyBorder="1" quotePrefix="0" pivotButton="0"/>
    <xf fontId="0" fillId="0" borderId="7" numFmtId="0" xfId="0" applyBorder="1" quotePrefix="0" pivotButton="0"/>
    <xf fontId="3" fillId="0" borderId="5" numFmtId="14" xfId="0" applyNumberFormat="1" applyFont="1" applyBorder="1" applyAlignment="1" applyProtection="1" quotePrefix="0" pivotButton="0">
      <alignment horizontal="center" vertical="center"/>
      <protection hidden="0" locked="0"/>
    </xf>
    <xf fontId="0" fillId="0" borderId="6" numFmtId="0" xfId="0" applyBorder="1" applyProtection="1" quotePrefix="0" pivotButton="0">
      <protection hidden="0" locked="0"/>
    </xf>
    <xf fontId="0" fillId="0" borderId="7" numFmtId="0" xfId="0" applyBorder="1" applyProtection="1" quotePrefix="0" pivotButton="0">
      <protection hidden="0" locked="0"/>
    </xf>
    <xf fontId="0" fillId="0" borderId="8" numFmtId="0" xfId="0" applyBorder="1" applyAlignment="1" quotePrefix="0" pivotButton="0">
      <alignment vertical="center"/>
    </xf>
    <xf fontId="3" fillId="0" borderId="5" numFmtId="14" xfId="0" applyNumberFormat="1" applyFont="1" applyBorder="1" applyAlignment="1" quotePrefix="0" pivotButton="0">
      <alignment horizontal="left" vertical="center"/>
    </xf>
    <xf fontId="0" fillId="0" borderId="9" numFmtId="0" xfId="0" applyBorder="1" applyAlignment="1" quotePrefix="0" pivotButton="0">
      <alignment vertical="center"/>
    </xf>
    <xf fontId="0" fillId="0" borderId="0" numFmtId="0" xfId="0" applyAlignment="1" quotePrefix="0" pivotButton="0">
      <alignment vertical="center"/>
    </xf>
    <xf fontId="3" fillId="0" borderId="0" numFmtId="0" xfId="0" applyFont="1" applyAlignment="1" quotePrefix="0" pivotButton="0">
      <alignment horizontal="left" vertical="center"/>
    </xf>
    <xf fontId="6" fillId="2" borderId="5" numFmtId="0" xfId="0" applyFont="1" applyFill="1" applyBorder="1" applyAlignment="1" quotePrefix="0" pivotButton="0">
      <alignment horizontal="left" vertical="center"/>
    </xf>
    <xf fontId="3" fillId="0" borderId="5" numFmtId="0" xfId="0" applyFont="1" applyBorder="1" applyAlignment="1" applyProtection="1" quotePrefix="0" pivotButton="0">
      <alignment horizontal="left" shrinkToFit="1" vertical="center"/>
      <protection hidden="0" locked="0"/>
    </xf>
    <xf fontId="3" fillId="0" borderId="5" numFmtId="0" xfId="0" applyFont="1" applyBorder="1" applyAlignment="1" quotePrefix="0" pivotButton="0">
      <alignment horizontal="left" shrinkToFit="1" vertical="center"/>
    </xf>
    <xf fontId="1" fillId="0" borderId="5" numFmtId="0" xfId="2" applyFont="1" applyBorder="1" applyAlignment="1" applyProtection="1" quotePrefix="0" pivotButton="0">
      <alignment horizontal="left" vertical="center"/>
      <protection hidden="0" locked="0"/>
    </xf>
    <xf fontId="3" fillId="0" borderId="5" numFmtId="0" xfId="0" applyFont="1" applyBorder="1" applyAlignment="1" quotePrefix="0" pivotButton="0">
      <alignment horizontal="left" vertical="center"/>
    </xf>
    <xf fontId="3" fillId="3" borderId="5" numFmtId="0" xfId="0" applyFont="1" applyFill="1" applyBorder="1" applyAlignment="1" quotePrefix="0" pivotButton="0">
      <alignment horizontal="left" shrinkToFit="1" vertical="center"/>
    </xf>
    <xf fontId="3" fillId="0" borderId="0" numFmtId="0" xfId="0" applyFont="1" applyAlignment="1" quotePrefix="0" pivotButton="0">
      <alignment horizontal="left" vertical="center" wrapText="1"/>
    </xf>
    <xf fontId="0" fillId="0" borderId="10" numFmtId="0" xfId="0" applyBorder="1" quotePrefix="0" pivotButton="0"/>
    <xf fontId="0" fillId="0" borderId="11" numFmtId="0" xfId="0" applyBorder="1" quotePrefix="0" pivotButton="0"/>
    <xf fontId="3" fillId="2" borderId="5" numFmtId="0" xfId="0" applyFont="1" applyFill="1" applyBorder="1" applyAlignment="1" quotePrefix="0" pivotButton="0">
      <alignment horizontal="center" vertical="center"/>
    </xf>
    <xf fontId="0" fillId="0" borderId="12" numFmtId="0" xfId="0" applyBorder="1" quotePrefix="0" pivotButton="0"/>
    <xf fontId="0" fillId="0" borderId="13" numFmtId="0" xfId="0" applyBorder="1" quotePrefix="0" pivotButton="0"/>
    <xf fontId="0" fillId="0" borderId="14" numFmtId="0" xfId="0" applyBorder="1" quotePrefix="0" pivotButton="0"/>
    <xf fontId="7" fillId="0" borderId="5" numFmtId="0" xfId="0" applyFont="1" applyBorder="1" applyAlignment="1" applyProtection="1" quotePrefix="0" pivotButton="0">
      <alignment horizontal="center" vertical="center"/>
      <protection hidden="0" locked="0"/>
    </xf>
    <xf fontId="3" fillId="0" borderId="5" numFmtId="14" xfId="0" applyNumberFormat="1" applyFont="1" applyBorder="1" applyAlignment="1" applyProtection="1" quotePrefix="0" pivotButton="0">
      <alignment horizontal="center" shrinkToFit="1" vertical="center"/>
      <protection hidden="0" locked="0"/>
    </xf>
    <xf fontId="7" fillId="0" borderId="5" numFmtId="0" xfId="0" applyFont="1" applyBorder="1" applyAlignment="1" quotePrefix="0" pivotButton="0">
      <alignment horizontal="center" vertical="center"/>
    </xf>
    <xf fontId="3" fillId="0" borderId="5" numFmtId="0" xfId="0" applyFont="1" applyBorder="1" applyAlignment="1" quotePrefix="0" pivotButton="0">
      <alignment horizontal="center" shrinkToFit="1" vertical="center"/>
    </xf>
    <xf fontId="8" fillId="2" borderId="5" numFmtId="0" xfId="0" applyFont="1" applyFill="1" applyBorder="1" applyAlignment="1" quotePrefix="0" pivotButton="0">
      <alignment horizontal="center" vertical="center"/>
    </xf>
    <xf fontId="2" fillId="2" borderId="5" numFmtId="0" xfId="0" applyFont="1" applyFill="1" applyBorder="1" applyAlignment="1" quotePrefix="0" pivotButton="0">
      <alignment horizontal="center" vertical="center"/>
    </xf>
    <xf fontId="2" fillId="2" borderId="7" numFmtId="0" xfId="0" applyFont="1" applyFill="1" applyBorder="1" applyAlignment="1" quotePrefix="0" pivotButton="0">
      <alignment horizontal="center" vertical="center"/>
    </xf>
    <xf fontId="9" fillId="2" borderId="5" numFmtId="0" xfId="2" applyFont="1" applyFill="1" applyBorder="1" applyAlignment="1" applyProtection="1" quotePrefix="0" pivotButton="0">
      <alignment horizontal="center" vertical="center"/>
      <protection hidden="0" locked="0"/>
    </xf>
    <xf fontId="0" fillId="0" borderId="10" numFmtId="0" xfId="0" applyBorder="1" applyProtection="1" quotePrefix="0" pivotButton="0">
      <protection hidden="0" locked="0"/>
    </xf>
    <xf fontId="0" fillId="0" borderId="11" numFmtId="0" xfId="0" applyBorder="1" applyProtection="1" quotePrefix="0" pivotButton="0">
      <protection hidden="0" locked="0"/>
    </xf>
    <xf fontId="9" fillId="2" borderId="5" numFmtId="0" xfId="2" applyFont="1" applyFill="1" applyBorder="1" applyAlignment="1" quotePrefix="0" pivotButton="0">
      <alignment horizontal="center" vertical="center"/>
    </xf>
    <xf fontId="10" fillId="0" borderId="15" numFmtId="0" xfId="0" applyFont="1" applyBorder="1" applyAlignment="1" applyProtection="1" quotePrefix="0" pivotButton="0">
      <alignment horizontal="center" vertical="center"/>
      <protection hidden="0" locked="0"/>
    </xf>
    <xf fontId="10" fillId="0" borderId="7" numFmtId="0" xfId="0" applyFont="1" applyBorder="1" applyAlignment="1" applyProtection="1" quotePrefix="0" pivotButton="0">
      <alignment horizontal="center" vertical="center"/>
      <protection hidden="0" locked="0"/>
    </xf>
    <xf fontId="0" fillId="0" borderId="12" numFmtId="0" xfId="0" applyBorder="1" applyProtection="1" quotePrefix="0" pivotButton="0">
      <protection hidden="0" locked="0"/>
    </xf>
    <xf fontId="0" fillId="0" borderId="13" numFmtId="0" xfId="0" applyBorder="1" applyProtection="1" quotePrefix="0" pivotButton="0">
      <protection hidden="0" locked="0"/>
    </xf>
    <xf fontId="0" fillId="0" borderId="14" numFmtId="0" xfId="0" applyBorder="1" applyProtection="1" quotePrefix="0" pivotButton="0">
      <protection hidden="0" locked="0"/>
    </xf>
    <xf fontId="10" fillId="0" borderId="15" numFmtId="0" xfId="0" applyFont="1" applyBorder="1" applyAlignment="1" quotePrefix="0" pivotButton="0">
      <alignment horizontal="center" vertical="center"/>
    </xf>
    <xf fontId="11" fillId="2" borderId="16" numFmtId="0" xfId="0" applyFont="1" applyFill="1" applyBorder="1" applyAlignment="1" quotePrefix="0" pivotButton="0">
      <alignment horizontal="left" vertical="center"/>
    </xf>
    <xf fontId="6" fillId="2" borderId="17" numFmtId="0" xfId="0" applyFont="1" applyFill="1" applyBorder="1" applyAlignment="1" quotePrefix="0" pivotButton="0">
      <alignment horizontal="center" vertical="center"/>
    </xf>
    <xf fontId="0" fillId="0" borderId="18" numFmtId="0" xfId="0" applyBorder="1" quotePrefix="0" pivotButton="0"/>
    <xf fontId="0" fillId="0" borderId="19" numFmtId="0" xfId="0" applyBorder="1" quotePrefix="0" pivotButton="0"/>
    <xf fontId="12" fillId="2" borderId="7" numFmtId="0" xfId="2" applyFont="1" applyFill="1" applyBorder="1" applyAlignment="1" applyProtection="1" quotePrefix="0" pivotButton="0">
      <alignment horizontal="center" vertical="center"/>
      <protection hidden="0" locked="0"/>
    </xf>
    <xf fontId="3" fillId="2" borderId="17" numFmtId="0" xfId="0" applyFont="1" applyFill="1" applyBorder="1" applyAlignment="1" quotePrefix="0" pivotButton="0">
      <alignment horizontal="center" vertical="center"/>
    </xf>
    <xf fontId="12" fillId="2" borderId="7" numFmtId="0" xfId="2" applyFont="1" applyFill="1" applyBorder="1" applyAlignment="1" quotePrefix="0" pivotButton="0">
      <alignment horizontal="center" vertical="center"/>
    </xf>
    <xf fontId="3" fillId="0" borderId="20" numFmtId="0" xfId="0" applyFont="1" applyBorder="1" applyAlignment="1" applyProtection="1" quotePrefix="0" pivotButton="0">
      <alignment horizontal="left" vertical="center"/>
      <protection hidden="0" locked="0"/>
    </xf>
    <xf fontId="0" fillId="0" borderId="0" numFmtId="0" xfId="0" applyProtection="1" quotePrefix="0" pivotButton="0">
      <protection hidden="0" locked="0"/>
    </xf>
    <xf fontId="0" fillId="0" borderId="21" numFmtId="0" xfId="0" applyBorder="1" applyProtection="1" quotePrefix="0" pivotButton="0">
      <protection hidden="0" locked="0"/>
    </xf>
    <xf fontId="3" fillId="0" borderId="20" numFmtId="0" xfId="0" applyFont="1" applyBorder="1" applyAlignment="1" quotePrefix="0" pivotButton="0">
      <alignment horizontal="left" vertical="center"/>
    </xf>
    <xf fontId="0" fillId="0" borderId="21" numFmtId="0" xfId="0" applyBorder="1" quotePrefix="0" pivotButton="0"/>
    <xf fontId="3" fillId="2" borderId="5" numFmtId="0" xfId="0" applyFont="1" applyFill="1" applyBorder="1" applyAlignment="1" quotePrefix="0" pivotButton="0">
      <alignment horizontal="left" vertical="center" wrapText="1"/>
    </xf>
    <xf fontId="3" fillId="0" borderId="5" numFmtId="38" xfId="7" applyNumberFormat="1" applyFont="1" applyBorder="1" applyAlignment="1" applyProtection="1" quotePrefix="0" pivotButton="0">
      <alignment horizontal="center" shrinkToFit="1" vertical="center"/>
      <protection hidden="0" locked="0"/>
    </xf>
    <xf fontId="3" fillId="2" borderId="5" numFmtId="0" xfId="0" applyFont="1" applyFill="1" applyBorder="1" applyAlignment="1" quotePrefix="0" pivotButton="0">
      <alignment horizontal="center" shrinkToFit="1" vertical="center"/>
    </xf>
    <xf fontId="3" fillId="0" borderId="5" numFmtId="38" xfId="7" applyNumberFormat="1" applyFont="1" applyBorder="1" applyAlignment="1" quotePrefix="0" pivotButton="0">
      <alignment horizontal="center" shrinkToFit="1" vertical="center"/>
    </xf>
    <xf fontId="3" fillId="3" borderId="5" numFmtId="38" xfId="7" applyNumberFormat="1" applyFont="1" applyFill="1" applyBorder="1" applyAlignment="1" applyProtection="1" quotePrefix="0" pivotButton="0">
      <alignment horizontal="center" shrinkToFit="1" vertical="center"/>
      <protection hidden="0" locked="0"/>
    </xf>
    <xf fontId="3" fillId="3" borderId="5" numFmtId="38" xfId="7" applyNumberFormat="1" applyFont="1" applyFill="1" applyBorder="1" applyAlignment="1" quotePrefix="0" pivotButton="0">
      <alignment horizontal="center" shrinkToFit="1" vertical="center"/>
    </xf>
    <xf fontId="3" fillId="2" borderId="5" numFmtId="38" xfId="7" applyNumberFormat="1" applyFont="1" applyFill="1" applyBorder="1" applyAlignment="1" quotePrefix="0" pivotButton="0">
      <alignment horizontal="center" shrinkToFit="1" vertical="center"/>
    </xf>
    <xf fontId="3" fillId="0" borderId="5" numFmtId="0" xfId="0" applyFont="1" applyBorder="1" applyAlignment="1" applyProtection="1" quotePrefix="0" pivotButton="0">
      <alignment horizontal="center" vertical="center"/>
      <protection hidden="0" locked="0"/>
    </xf>
    <xf fontId="3" fillId="0" borderId="5" numFmtId="0" xfId="0" applyFont="1" applyBorder="1" applyAlignment="1" quotePrefix="0" pivotButton="0">
      <alignment horizontal="center" vertical="center"/>
    </xf>
    <xf fontId="6" fillId="2" borderId="5" numFmtId="0" xfId="0" applyFont="1" applyFill="1" applyBorder="1" applyAlignment="1" quotePrefix="0" pivotButton="0">
      <alignment horizontal="center" vertical="center"/>
    </xf>
    <xf fontId="3" fillId="4" borderId="5" numFmtId="0" xfId="0" applyFont="1" applyFill="1" applyBorder="1" applyAlignment="1" applyProtection="1" quotePrefix="0" pivotButton="0">
      <alignment horizontal="center" shrinkToFit="1" vertical="center"/>
      <protection hidden="0" locked="0"/>
    </xf>
    <xf fontId="3" fillId="5" borderId="5" numFmtId="0" xfId="0" applyFont="1" applyFill="1" applyBorder="1" applyAlignment="1" applyProtection="1" quotePrefix="0" pivotButton="0">
      <alignment horizontal="center" vertical="center"/>
      <protection hidden="0" locked="0"/>
    </xf>
    <xf fontId="13" fillId="2" borderId="16" numFmtId="0" xfId="0" applyFont="1" applyFill="1" applyBorder="1" applyAlignment="1" quotePrefix="0" pivotButton="0">
      <alignment horizontal="center" vertical="center"/>
    </xf>
    <xf fontId="6" fillId="2" borderId="6" numFmtId="0" xfId="0" applyFont="1" applyFill="1" applyBorder="1" applyAlignment="1" applyProtection="1" quotePrefix="0" pivotButton="0">
      <alignment vertical="center"/>
      <protection hidden="0" locked="0"/>
    </xf>
    <xf fontId="6" fillId="2" borderId="16" numFmtId="0" xfId="0" applyFont="1" applyFill="1" applyBorder="1" applyAlignment="1" quotePrefix="0" pivotButton="0">
      <alignment horizontal="center" vertical="center"/>
    </xf>
    <xf fontId="6" fillId="2" borderId="6" numFmtId="0" xfId="0" applyFont="1" applyFill="1" applyBorder="1" applyAlignment="1" quotePrefix="0" pivotButton="0">
      <alignment vertical="center"/>
    </xf>
    <xf fontId="0" fillId="0" borderId="0" numFmtId="0" xfId="0" applyAlignment="1" applyProtection="1" quotePrefix="0" pivotButton="0">
      <alignment vertical="center"/>
      <protection hidden="0" locked="0"/>
    </xf>
    <xf fontId="0" fillId="0" borderId="22" numFmtId="0" xfId="0" applyBorder="1" applyAlignment="1" quotePrefix="0" pivotButton="0">
      <alignment vertical="center"/>
    </xf>
    <xf fontId="0" fillId="0" borderId="23" numFmtId="0" xfId="0" applyBorder="1" applyAlignment="1" quotePrefix="0" pivotButton="0">
      <alignment vertical="center"/>
    </xf>
    <xf fontId="0" fillId="0" borderId="24" numFmtId="0" xfId="0" applyBorder="1" applyAlignment="1" quotePrefix="0" pivotButton="0">
      <alignment vertical="center"/>
    </xf>
    <xf fontId="0" fillId="0" borderId="0" numFmtId="0" xfId="0" applyAlignment="1" quotePrefix="0" pivotButton="0">
      <alignment vertical="center" wrapText="1"/>
    </xf>
    <xf fontId="14" fillId="0" borderId="0" numFmtId="0" xfId="0" applyFont="1" applyAlignment="1" quotePrefix="0" pivotButton="0">
      <alignment horizontal="center" vertical="top"/>
    </xf>
    <xf fontId="15" fillId="0" borderId="0" numFmtId="0" xfId="0" applyFont="1" applyAlignment="1" quotePrefix="0" pivotButton="0">
      <alignment horizontal="right" vertical="center"/>
    </xf>
    <xf fontId="16" fillId="0" borderId="0" numFmtId="0" xfId="0" applyFont="1" applyAlignment="1" quotePrefix="0" pivotButton="0">
      <alignment horizontal="right" vertical="center"/>
    </xf>
    <xf fontId="15" fillId="0" borderId="0" numFmtId="0" xfId="0" applyFont="1" quotePrefix="0" pivotButton="0"/>
    <xf fontId="17" fillId="0" borderId="0" numFmtId="0" xfId="0" applyFont="1" applyAlignment="1" quotePrefix="0" pivotButton="0">
      <alignment horizontal="right"/>
    </xf>
    <xf fontId="18" fillId="0" borderId="0" numFmtId="164" xfId="0" applyNumberFormat="1" applyFont="1" applyAlignment="1" quotePrefix="0" pivotButton="0">
      <alignment horizontal="right"/>
    </xf>
    <xf fontId="19" fillId="0" borderId="0" numFmtId="0" xfId="0" applyFont="1" applyAlignment="1" quotePrefix="0" pivotButton="0">
      <alignment horizontal="right"/>
    </xf>
    <xf fontId="0" fillId="0" borderId="0" numFmtId="165" xfId="0" applyNumberFormat="1" applyAlignment="1" quotePrefix="0" pivotButton="0">
      <alignment horizontal="center"/>
    </xf>
    <xf fontId="0" fillId="0" borderId="0" numFmtId="0" xfId="0" applyAlignment="1" quotePrefix="0" pivotButton="0">
      <alignment horizontal="center" vertical="center"/>
    </xf>
    <xf fontId="20" fillId="0" borderId="0" numFmtId="0" xfId="0" applyFont="1" applyAlignment="1" quotePrefix="0" pivotButton="0">
      <alignment vertical="center"/>
    </xf>
    <xf fontId="0" fillId="0" borderId="13" numFmtId="0" xfId="0" applyBorder="1" applyAlignment="1" quotePrefix="0" pivotButton="0">
      <alignment horizontal="left" vertical="center"/>
    </xf>
    <xf fontId="21" fillId="0" borderId="0" numFmtId="0" xfId="0" applyFont="1" applyAlignment="1" quotePrefix="0" pivotButton="0">
      <alignment vertical="top"/>
    </xf>
    <xf fontId="17" fillId="0" borderId="15" numFmtId="0" xfId="0" applyFont="1" applyBorder="1" applyAlignment="1" quotePrefix="0" pivotButton="0">
      <alignment horizontal="center" vertical="center"/>
    </xf>
    <xf fontId="22" fillId="0" borderId="11" numFmtId="0" xfId="0" applyFont="1" applyBorder="1" applyAlignment="1" quotePrefix="0" pivotButton="0">
      <alignment vertical="center"/>
    </xf>
    <xf fontId="0" fillId="0" borderId="20" numFmtId="0" xfId="0" applyBorder="1" quotePrefix="0" pivotButton="0"/>
    <xf fontId="17" fillId="0" borderId="5" numFmtId="0" xfId="0" applyFont="1" applyBorder="1" applyAlignment="1" quotePrefix="0" pivotButton="0">
      <alignment horizontal="center" vertical="center"/>
    </xf>
    <xf fontId="22" fillId="0" borderId="6" numFmtId="0" xfId="0" applyFont="1" applyBorder="1" applyAlignment="1" quotePrefix="0" pivotButton="0">
      <alignment vertical="center" wrapText="1"/>
    </xf>
    <xf fontId="23" fillId="0" borderId="5" numFmtId="0" xfId="0" applyFont="1" applyBorder="1" applyAlignment="1" quotePrefix="0" pivotButton="0">
      <alignment horizontal="center" vertical="center"/>
    </xf>
    <xf fontId="22" fillId="0" borderId="5" numFmtId="0" xfId="0" applyFont="1" applyBorder="1" applyAlignment="1" quotePrefix="0" pivotButton="0">
      <alignment horizontal="center" vertical="center"/>
    </xf>
    <xf fontId="17" fillId="0" borderId="20" numFmtId="0" xfId="0" applyFont="1" applyBorder="1" applyAlignment="1" quotePrefix="0" pivotButton="0">
      <alignment horizontal="center" vertical="center"/>
    </xf>
    <xf fontId="1" fillId="0" borderId="0" numFmtId="0" xfId="2" applyFont="1" applyAlignment="1" quotePrefix="0" pivotButton="0">
      <alignment vertical="center"/>
    </xf>
    <xf fontId="17" fillId="0" borderId="15" numFmtId="0" xfId="0" applyFont="1" applyBorder="1" applyAlignment="1" quotePrefix="0" pivotButton="0">
      <alignment horizontal="center" vertical="center" wrapText="1"/>
    </xf>
    <xf fontId="22" fillId="0" borderId="16" numFmtId="0" xfId="0" applyFont="1" applyBorder="1" applyAlignment="1" quotePrefix="0" pivotButton="0">
      <alignment horizontal="center" vertical="center" wrapText="1"/>
    </xf>
    <xf fontId="22" fillId="0" borderId="6" numFmtId="0" xfId="0" applyFont="1" applyBorder="1" applyAlignment="1" quotePrefix="0" pivotButton="0">
      <alignment horizontal="center" shrinkToFit="1" vertical="center"/>
    </xf>
    <xf fontId="22" fillId="0" borderId="7" numFmtId="0" xfId="0" applyFont="1" applyBorder="1" applyAlignment="1" quotePrefix="0" pivotButton="0">
      <alignment horizontal="center" vertical="center" wrapText="1"/>
    </xf>
    <xf fontId="17" fillId="0" borderId="5" numFmtId="0" xfId="0" applyFont="1" applyBorder="1" applyAlignment="1" quotePrefix="0" pivotButton="0">
      <alignment horizontal="center" vertical="center" wrapText="1"/>
    </xf>
    <xf fontId="22" fillId="0" borderId="6" numFmtId="0" xfId="0" applyFont="1" applyBorder="1" applyAlignment="1" quotePrefix="0" pivotButton="0">
      <alignment horizontal="center" vertical="center" wrapText="1"/>
    </xf>
    <xf fontId="23" fillId="0" borderId="5" numFmtId="0" xfId="0" applyFont="1" applyBorder="1" applyAlignment="1" quotePrefix="0" pivotButton="0">
      <alignment horizontal="center" vertical="center" wrapText="1"/>
    </xf>
    <xf fontId="24" fillId="0" borderId="5" numFmtId="0" xfId="0" applyFont="1" applyBorder="1" applyAlignment="1" quotePrefix="0" pivotButton="0">
      <alignment horizontal="center" vertical="center"/>
    </xf>
    <xf fontId="22" fillId="0" borderId="10" numFmtId="166" xfId="0" applyNumberFormat="1" applyFont="1" applyBorder="1" applyAlignment="1" quotePrefix="0" pivotButton="0">
      <alignment vertical="center"/>
    </xf>
    <xf fontId="23" fillId="0" borderId="11" numFmtId="0" xfId="0" applyFont="1" applyBorder="1" applyAlignment="1" quotePrefix="0" pivotButton="0">
      <alignment vertical="center"/>
    </xf>
    <xf fontId="22" fillId="0" borderId="7" numFmtId="0" xfId="0" applyFont="1" applyBorder="1" applyAlignment="1" quotePrefix="0" pivotButton="0">
      <alignment horizontal="center" vertical="center"/>
    </xf>
    <xf fontId="25" fillId="0" borderId="0" numFmtId="0" xfId="0" applyFont="1" applyAlignment="1" quotePrefix="0" pivotButton="0">
      <alignment vertical="center"/>
    </xf>
    <xf fontId="22" fillId="0" borderId="6" numFmtId="166" xfId="0" applyNumberFormat="1" applyFont="1" applyBorder="1" applyAlignment="1" quotePrefix="0" pivotButton="0">
      <alignment vertical="center"/>
    </xf>
    <xf fontId="23" fillId="0" borderId="7" numFmtId="0" xfId="0" applyFont="1" applyBorder="1" applyAlignment="1" quotePrefix="0" pivotButton="0">
      <alignment vertical="center"/>
    </xf>
    <xf fontId="0" fillId="0" borderId="25" numFmtId="0" xfId="0" applyBorder="1" quotePrefix="0" pivotButton="0"/>
    <xf fontId="23" fillId="0" borderId="25" numFmtId="0" xfId="0" applyFont="1" applyBorder="1" applyAlignment="1" quotePrefix="0" pivotButton="0">
      <alignment horizontal="center" vertical="center"/>
    </xf>
    <xf fontId="22" fillId="0" borderId="21" numFmtId="0" xfId="0" applyFont="1" applyBorder="1" applyAlignment="1" quotePrefix="0" pivotButton="0">
      <alignment horizontal="center" vertical="center"/>
    </xf>
    <xf fontId="0" fillId="0" borderId="26" numFmtId="0" xfId="0" applyBorder="1" applyAlignment="1" quotePrefix="0" pivotButton="0">
      <alignment horizontal="center" vertical="center"/>
    </xf>
    <xf fontId="0" fillId="0" borderId="16" numFmtId="0" xfId="0" applyBorder="1" applyAlignment="1" quotePrefix="0" pivotButton="0">
      <alignment horizontal="center" vertical="center"/>
    </xf>
    <xf fontId="17" fillId="0" borderId="7" numFmtId="0" xfId="0" applyFont="1" applyBorder="1" applyAlignment="1" quotePrefix="0" pivotButton="0">
      <alignment vertical="center"/>
    </xf>
    <xf fontId="26" fillId="0" borderId="0" numFmtId="0" xfId="0" applyFont="1" applyAlignment="1" quotePrefix="0" pivotButton="0">
      <alignment vertical="top" wrapText="1"/>
    </xf>
    <xf fontId="21" fillId="0" borderId="0" numFmtId="0" xfId="0" applyFont="1" quotePrefix="0" pivotButton="0"/>
    <xf fontId="18" fillId="6" borderId="0" numFmtId="0" xfId="0" applyFont="1" applyFill="1" applyAlignment="1" applyProtection="1" quotePrefix="0" pivotButton="0">
      <alignment vertical="center"/>
      <protection hidden="0" locked="0"/>
    </xf>
    <xf fontId="27" fillId="0" borderId="0" numFmtId="0" xfId="0" applyFont="1" applyAlignment="1" quotePrefix="0" pivotButton="0">
      <alignment vertical="top" wrapText="1"/>
    </xf>
    <xf fontId="28" fillId="0" borderId="0" numFmtId="0" xfId="0" applyFont="1" applyAlignment="1" quotePrefix="0" pivotButton="0">
      <alignment vertical="center"/>
    </xf>
    <xf fontId="29" fillId="0" borderId="0" numFmtId="0" xfId="0" applyFont="1" applyAlignment="1" quotePrefix="0" pivotButton="0">
      <alignment horizontal="right" vertical="center"/>
    </xf>
    <xf fontId="29" fillId="0" borderId="0" numFmtId="0" xfId="0" applyFont="1" applyAlignment="1" quotePrefix="0" pivotButton="0">
      <alignment horizontal="center" vertical="center"/>
    </xf>
    <xf fontId="30" fillId="0" borderId="0" numFmtId="0" xfId="0" applyFont="1" applyAlignment="1" quotePrefix="0" pivotButton="0">
      <alignment vertical="center"/>
    </xf>
    <xf fontId="4" fillId="0" borderId="0" numFmtId="0" xfId="0" applyFont="1" quotePrefix="0" pivotButton="0"/>
    <xf fontId="4" fillId="0" borderId="0" numFmtId="0" xfId="0" applyFont="1" applyAlignment="1" quotePrefix="0" pivotButton="0">
      <alignment vertical="center"/>
    </xf>
    <xf fontId="31" fillId="0" borderId="0" numFmtId="0" xfId="0" applyFont="1" applyAlignment="1" quotePrefix="0" pivotButton="0">
      <alignment vertical="center"/>
    </xf>
    <xf fontId="32" fillId="0" borderId="0" numFmtId="0" xfId="0" applyFont="1" applyAlignment="1" quotePrefix="0" pivotButton="0">
      <alignment horizontal="left" vertical="center"/>
    </xf>
    <xf fontId="33" fillId="0" borderId="0" numFmtId="0" xfId="2" applyFont="1" applyAlignment="1" quotePrefix="0" pivotButton="0">
      <alignment vertical="center"/>
    </xf>
    <xf fontId="33" fillId="0" borderId="0" numFmtId="0" xfId="2" applyFont="1" applyAlignment="1" quotePrefix="0" pivotButton="0">
      <alignment horizontal="left" vertical="center"/>
    </xf>
    <xf fontId="8" fillId="0" borderId="0" numFmtId="0" xfId="0" applyFont="1" applyAlignment="1" quotePrefix="0" pivotButton="0">
      <alignment vertical="center"/>
    </xf>
    <xf fontId="32" fillId="0" borderId="0" numFmtId="0" xfId="0" applyFont="1" applyAlignment="1" quotePrefix="0" pivotButton="0">
      <alignment vertical="center"/>
    </xf>
    <xf fontId="34" fillId="0" borderId="0" numFmtId="0" xfId="0" applyFont="1" applyAlignment="1" quotePrefix="0" pivotButton="0">
      <alignment vertical="center"/>
    </xf>
    <xf fontId="13" fillId="0" borderId="0" numFmtId="0" xfId="0" applyFont="1" applyAlignment="1" quotePrefix="0" pivotButton="0">
      <alignment vertical="center"/>
    </xf>
    <xf fontId="32" fillId="0" borderId="27" numFmtId="0" xfId="0" applyFont="1" applyBorder="1" applyAlignment="1" quotePrefix="0" pivotButton="0">
      <alignment horizontal="center" vertical="center"/>
    </xf>
    <xf fontId="0" fillId="0" borderId="28" numFmtId="0" xfId="0" applyBorder="1" quotePrefix="0" pivotButton="0"/>
    <xf fontId="32" fillId="0" borderId="21" numFmtId="0" xfId="0" applyFont="1" applyBorder="1" applyAlignment="1" quotePrefix="0" pivotButton="0">
      <alignment horizontal="center" vertical="center"/>
    </xf>
    <xf fontId="32" fillId="0" borderId="7" numFmtId="0" xfId="0" applyFont="1" applyBorder="1" applyAlignment="1" quotePrefix="0" pivotButton="0">
      <alignment horizontal="center" vertical="center"/>
    </xf>
    <xf fontId="32" fillId="0" borderId="29" numFmtId="0" xfId="0" applyFont="1" applyBorder="1" applyAlignment="1" quotePrefix="0" pivotButton="0">
      <alignment horizontal="center" vertical="center"/>
    </xf>
    <xf fontId="32" fillId="0" borderId="15" numFmtId="0" xfId="0" applyFont="1" applyBorder="1" applyAlignment="1" quotePrefix="0" pivotButton="0">
      <alignment horizontal="center" vertical="center"/>
    </xf>
    <xf fontId="32" fillId="0" borderId="5" numFmtId="0" xfId="0" applyFont="1" applyBorder="1" applyAlignment="1" quotePrefix="0" pivotButton="0">
      <alignment horizontal="center" vertical="center"/>
    </xf>
    <xf fontId="32" fillId="7" borderId="17" numFmtId="0" xfId="0" applyFont="1" applyFill="1" applyBorder="1" applyAlignment="1" applyProtection="1" quotePrefix="0" pivotButton="0">
      <alignment horizontal="center" vertical="center"/>
      <protection hidden="0" locked="0"/>
    </xf>
    <xf fontId="0" fillId="0" borderId="18" numFmtId="0" xfId="0" applyBorder="1" applyProtection="1" quotePrefix="0" pivotButton="0">
      <protection hidden="0" locked="0"/>
    </xf>
    <xf fontId="0" fillId="0" borderId="19" numFmtId="0" xfId="0" applyBorder="1" applyProtection="1" quotePrefix="0" pivotButton="0">
      <protection hidden="0" locked="0"/>
    </xf>
    <xf fontId="35" fillId="2" borderId="11" numFmtId="0" xfId="0" applyFont="1" applyFill="1" applyBorder="1" applyAlignment="1" quotePrefix="0" pivotButton="0">
      <alignment horizontal="center" vertical="center"/>
    </xf>
    <xf fontId="35" fillId="2" borderId="15" numFmtId="0" xfId="0" applyFont="1" applyFill="1" applyBorder="1" applyAlignment="1" quotePrefix="0" pivotButton="0">
      <alignment horizontal="center" vertical="center"/>
    </xf>
    <xf fontId="36" fillId="0" borderId="0" numFmtId="0" xfId="0" applyFont="1" applyAlignment="1" quotePrefix="0" pivotButton="0">
      <alignment vertical="center"/>
    </xf>
    <xf fontId="37" fillId="0" borderId="0" numFmtId="0" xfId="0" applyFont="1" applyAlignment="1" quotePrefix="0" pivotButton="0">
      <alignment horizontal="right" vertical="center"/>
    </xf>
    <xf fontId="32" fillId="8" borderId="30" numFmtId="0" xfId="0" applyFont="1" applyFill="1" applyBorder="1" applyAlignment="1" quotePrefix="0" pivotButton="0">
      <alignment horizontal="center" vertical="center"/>
    </xf>
    <xf fontId="0" fillId="0" borderId="31" numFmtId="0" xfId="0" applyBorder="1" quotePrefix="0" pivotButton="0"/>
    <xf fontId="32" fillId="8" borderId="32" numFmtId="0" xfId="0" applyFont="1" applyFill="1" applyBorder="1" applyAlignment="1" quotePrefix="0" pivotButton="0">
      <alignment horizontal="center" vertical="center"/>
    </xf>
    <xf fontId="32" fillId="8" borderId="7" numFmtId="0" xfId="0" applyFont="1" applyFill="1" applyBorder="1" applyAlignment="1" quotePrefix="0" pivotButton="0">
      <alignment horizontal="center" vertical="center"/>
    </xf>
    <xf fontId="32" fillId="8" borderId="5" numFmtId="0" xfId="0" applyFont="1" applyFill="1" applyBorder="1" applyAlignment="1" quotePrefix="0" pivotButton="0">
      <alignment horizontal="center" vertical="center"/>
    </xf>
    <xf fontId="38" fillId="0" borderId="0" numFmtId="0" xfId="0" applyFont="1" applyAlignment="1" quotePrefix="0" pivotButton="0">
      <alignment vertical="center"/>
    </xf>
    <xf fontId="39" fillId="0" borderId="0" numFmtId="0" xfId="0" applyFont="1" applyAlignment="1" quotePrefix="0" pivotButton="0">
      <alignment vertical="center"/>
    </xf>
    <xf fontId="40" fillId="0" borderId="0" numFmtId="0" xfId="0" applyFont="1" applyAlignment="1" quotePrefix="0" pivotButton="0">
      <alignment vertical="center"/>
    </xf>
    <xf fontId="41" fillId="0" borderId="0" numFmtId="0" xfId="2" applyFont="1" applyAlignment="1" quotePrefix="0" pivotButton="0">
      <alignment vertical="center"/>
    </xf>
    <xf fontId="3" fillId="0" borderId="33" numFmtId="0" xfId="0" applyFont="1" applyBorder="1" applyAlignment="1" quotePrefix="0" pivotButton="0">
      <alignment vertical="center"/>
    </xf>
    <xf fontId="3" fillId="0" borderId="10" numFmtId="14" xfId="0" applyNumberFormat="1" applyFont="1" applyBorder="1" applyAlignment="1" quotePrefix="0" pivotButton="0">
      <alignment vertical="center"/>
    </xf>
    <xf fontId="3" fillId="0" borderId="10" numFmtId="0" xfId="0" applyFont="1" applyBorder="1" applyAlignment="1" quotePrefix="0" pivotButton="0">
      <alignment vertical="center"/>
    </xf>
    <xf fontId="3" fillId="0" borderId="11" numFmtId="0" xfId="0" applyFont="1" applyBorder="1" applyAlignment="1" quotePrefix="0" pivotButton="0">
      <alignment vertical="center"/>
    </xf>
    <xf fontId="3" fillId="0" borderId="34" numFmtId="0" xfId="0" applyFont="1" applyBorder="1" applyAlignment="1" quotePrefix="0" pivotButton="0">
      <alignment vertical="center"/>
    </xf>
    <xf fontId="3" fillId="0" borderId="21" numFmtId="0" xfId="0" applyFont="1" applyBorder="1" applyAlignment="1" quotePrefix="0" pivotButton="0">
      <alignment vertical="center"/>
    </xf>
    <xf fontId="6" fillId="0" borderId="33" numFmtId="0" xfId="2" applyFont="1" applyBorder="1" applyAlignment="1" quotePrefix="0" pivotButton="0">
      <alignment vertical="center"/>
    </xf>
    <xf fontId="3" fillId="0" borderId="12" numFmtId="0" xfId="0" applyFont="1" applyBorder="1" applyAlignment="1" quotePrefix="0" pivotButton="0">
      <alignment vertical="center"/>
    </xf>
    <xf fontId="3" fillId="0" borderId="13" numFmtId="0" xfId="0" applyFont="1" applyBorder="1" applyAlignment="1" quotePrefix="0" pivotButton="0">
      <alignment vertical="center"/>
    </xf>
    <xf fontId="3" fillId="0" borderId="14" numFmtId="0" xfId="0" applyFont="1" applyBorder="1" applyAlignment="1" quotePrefix="0" pivotButton="0">
      <alignment vertical="center"/>
    </xf>
    <xf fontId="3" fillId="0" borderId="0" numFmtId="38" xfId="0" applyNumberFormat="1" applyFont="1" applyAlignment="1" quotePrefix="0" pivotButton="0">
      <alignment vertical="center"/>
    </xf>
    <xf fontId="3" fillId="0" borderId="34" numFmtId="0" xfId="0" applyFont="1" applyBorder="1" applyAlignment="1" quotePrefix="0" pivotButton="0">
      <alignment vertical="center" wrapText="1"/>
    </xf>
  </cellXfs>
  <cellStyles count="8">
    <cellStyle name="標準" xfId="0" builtinId="0"/>
    <cellStyle name="標準 2" xfId="1"/>
    <cellStyle name="ハイパーリンク" xfId="2" builtinId="8"/>
    <cellStyle name="標準 2 2" xfId="3"/>
    <cellStyle name="標準 2 2 2" xfId="4"/>
    <cellStyle name="桁区切り 2" xfId="5"/>
    <cellStyle name="標準 3" xfId="6"/>
    <cellStyle name="桁区切り" xfId="7" builtin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externalLink" Target="externalLinks/externalLink2.xml"/><Relationship  Id="rId3" Type="http://schemas.openxmlformats.org/officeDocument/2006/relationships/externalLink" Target="externalLinks/externalLink3.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467843/&#12510;&#12452;%20&#12489;&#12461;&#12517;&#12513;&#12531;&#12488;/&#12501;&#12449;&#12463;&#12488;&#12539;&#12502;&#12483;&#12463;/&#12501;&#12449;&#12463;&#12488;&#12502;&#12483;&#12463;2003&#20316;&#25104;&#26178;&#12501;&#12449;&#12452;&#12523;/&#36001;&#21209;&#25351;&#27161;&#65305;&#31038;&#20998;.xls"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X:\WINDOWS\&#65411;&#65438;&#65405;&#65400;&#65412;&#65391;&#65420;&#65439;\&#65419;&#65393;&#36039;&#26009;.xls" TargetMode="External"/></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File10\Share\Documents%20and%20Settings\491525\Local%20Settings\Temporary%20Internet%20Files\OLKE2\&#29992;&#33337;&#24066;&#27841;0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自己資本比率"/>
      <sheetName val="売上高当期利益率"/>
      <sheetName val="ＲＯＥ"/>
      <sheetName val="総資本回転率"/>
      <sheetName val="ＲＯＡ"/>
      <sheetName val="経営指標データ"/>
      <sheetName val="B"/>
      <sheetName val="諸元TBL"/>
      <sheetName val="諸元①"/>
      <sheetName val="りん議（社員用）"/>
      <sheetName val="3_TBL"/>
      <sheetName val="連絡先"/>
      <sheetName val="表"/>
      <sheetName val="入力規則"/>
      <sheetName val="リスト用"/>
    </sheetNames>
    <sheetDataSet>
      <sheetData sheetId="0" refreshError="1"/>
      <sheetData sheetId="1" refreshError="1"/>
      <sheetData sheetId="2" refreshError="1"/>
      <sheetData sheetId="3" refreshError="1"/>
      <sheetData sheetId="4" refreshError="1"/>
      <sheetData sheetId="5" refreshError="1">
        <row r="2">
          <cell r="U2" t="e">
            <v>#REF!</v>
          </cell>
          <cell r="V2" t="e">
            <v>#REF!</v>
          </cell>
          <cell r="W2" t="e">
            <v>#REF!</v>
          </cell>
          <cell r="X2" t="e">
            <v>#REF!</v>
          </cell>
          <cell r="Y2" t="e">
            <v>#REF!</v>
          </cell>
        </row>
        <row r="3">
          <cell r="U3" t="e">
            <v>#REF!</v>
          </cell>
          <cell r="V3" t="e">
            <v>#REF!</v>
          </cell>
          <cell r="W3" t="e">
            <v>#REF!</v>
          </cell>
          <cell r="X3" t="e">
            <v>#REF!</v>
          </cell>
          <cell r="Y3" t="e">
            <v>#REF!</v>
          </cell>
        </row>
        <row r="4">
          <cell r="U4" t="e">
            <v>#REF!</v>
          </cell>
          <cell r="V4" t="e">
            <v>#REF!</v>
          </cell>
          <cell r="W4" t="e">
            <v>#REF!</v>
          </cell>
          <cell r="X4" t="e">
            <v>#REF!</v>
          </cell>
          <cell r="Y4" t="e">
            <v>#REF!</v>
          </cell>
        </row>
        <row r="5">
          <cell r="U5" t="e">
            <v>#REF!</v>
          </cell>
          <cell r="V5" t="e">
            <v>#REF!</v>
          </cell>
          <cell r="W5" t="e">
            <v>#REF!</v>
          </cell>
          <cell r="X5" t="e">
            <v>#REF!</v>
          </cell>
          <cell r="Y5" t="e">
            <v>#REF!</v>
          </cell>
        </row>
        <row r="17">
          <cell r="J17" t="e">
            <v>#REF!</v>
          </cell>
          <cell r="K17" t="e">
            <v>#REF!</v>
          </cell>
          <cell r="L17" t="e">
            <v>#REF!</v>
          </cell>
          <cell r="M17" t="e">
            <v>#REF!</v>
          </cell>
          <cell r="U17" t="e">
            <v>#REF!</v>
          </cell>
          <cell r="V17" t="e">
            <v>#REF!</v>
          </cell>
          <cell r="W17" t="e">
            <v>#REF!</v>
          </cell>
          <cell r="X17" t="e">
            <v>#REF!</v>
          </cell>
          <cell r="Y17" t="e">
            <v>#REF!</v>
          </cell>
        </row>
        <row r="18">
          <cell r="U18" t="e">
            <v>#REF!</v>
          </cell>
          <cell r="V18" t="e">
            <v>#REF!</v>
          </cell>
          <cell r="W18" t="e">
            <v>#REF!</v>
          </cell>
          <cell r="X18" t="e">
            <v>#REF!</v>
          </cell>
          <cell r="Y18" t="e">
            <v>#REF!</v>
          </cell>
        </row>
        <row r="19">
          <cell r="U19" t="e">
            <v>#REF!</v>
          </cell>
          <cell r="V19" t="e">
            <v>#REF!</v>
          </cell>
          <cell r="W19" t="e">
            <v>#REF!</v>
          </cell>
          <cell r="X19" t="e">
            <v>#REF!</v>
          </cell>
          <cell r="Y19" t="e">
            <v>#REF!</v>
          </cell>
        </row>
        <row r="20">
          <cell r="U20" t="e">
            <v>#REF!</v>
          </cell>
          <cell r="V20" t="e">
            <v>#REF!</v>
          </cell>
          <cell r="W20" t="e">
            <v>#REF!</v>
          </cell>
          <cell r="X20" t="e">
            <v>#REF!</v>
          </cell>
          <cell r="Y20" t="e">
            <v>#REF!</v>
          </cell>
        </row>
        <row r="27">
          <cell r="J27" t="e">
            <v>#REF!</v>
          </cell>
          <cell r="K27" t="e">
            <v>#REF!</v>
          </cell>
          <cell r="L27" t="e">
            <v>#REF!</v>
          </cell>
          <cell r="M27" t="e">
            <v>#REF!</v>
          </cell>
        </row>
        <row r="28">
          <cell r="J28" t="e">
            <v>#REF!</v>
          </cell>
          <cell r="K28" t="e">
            <v>#REF!</v>
          </cell>
          <cell r="L28" t="e">
            <v>#REF!</v>
          </cell>
          <cell r="M28" t="e">
            <v>#REF!</v>
          </cell>
        </row>
        <row r="29">
          <cell r="J29" t="e">
            <v>#REF!</v>
          </cell>
          <cell r="K29" t="e">
            <v>#REF!</v>
          </cell>
          <cell r="L29" t="e">
            <v>#REF!</v>
          </cell>
          <cell r="M29" t="e">
            <v>#REF!</v>
          </cell>
        </row>
        <row r="33">
          <cell r="U33" t="e">
            <v>#REF!</v>
          </cell>
          <cell r="V33" t="e">
            <v>#REF!</v>
          </cell>
          <cell r="W33" t="e">
            <v>#REF!</v>
          </cell>
          <cell r="X33" t="e">
            <v>#REF!</v>
          </cell>
          <cell r="Y33" t="e">
            <v>#REF!</v>
          </cell>
        </row>
        <row r="34">
          <cell r="U34" t="e">
            <v>#REF!</v>
          </cell>
          <cell r="V34" t="e">
            <v>#REF!</v>
          </cell>
          <cell r="W34" t="e">
            <v>#REF!</v>
          </cell>
          <cell r="X34" t="e">
            <v>#REF!</v>
          </cell>
          <cell r="Y34" t="e">
            <v>#REF!</v>
          </cell>
        </row>
        <row r="35">
          <cell r="U35" t="e">
            <v>#REF!</v>
          </cell>
          <cell r="V35" t="e">
            <v>#REF!</v>
          </cell>
          <cell r="W35" t="e">
            <v>#REF!</v>
          </cell>
          <cell r="X35" t="e">
            <v>#REF!</v>
          </cell>
          <cell r="Y35" t="e">
            <v>#REF!</v>
          </cell>
        </row>
        <row r="36">
          <cell r="U36" t="e">
            <v>#REF!</v>
          </cell>
          <cell r="V36" t="e">
            <v>#REF!</v>
          </cell>
          <cell r="W36" t="e">
            <v>#REF!</v>
          </cell>
          <cell r="X36" t="e">
            <v>#REF!</v>
          </cell>
          <cell r="Y36" t="e">
            <v>#REF!</v>
          </cell>
        </row>
        <row r="39">
          <cell r="J39" t="e">
            <v>#REF!</v>
          </cell>
          <cell r="K39" t="e">
            <v>#REF!</v>
          </cell>
          <cell r="L39" t="e">
            <v>#REF!</v>
          </cell>
          <cell r="M39" t="e">
            <v>#REF!</v>
          </cell>
        </row>
        <row r="40">
          <cell r="J40" t="e">
            <v>#REF!</v>
          </cell>
          <cell r="K40" t="e">
            <v>#REF!</v>
          </cell>
          <cell r="L40" t="e">
            <v>#REF!</v>
          </cell>
          <cell r="M40" t="e">
            <v>#REF!</v>
          </cell>
        </row>
        <row r="41">
          <cell r="J41" t="e">
            <v>#REF!</v>
          </cell>
          <cell r="K41" t="e">
            <v>#REF!</v>
          </cell>
          <cell r="L41" t="e">
            <v>#REF!</v>
          </cell>
          <cell r="M41" t="e">
            <v>#REF!</v>
          </cell>
        </row>
        <row r="51">
          <cell r="J51" t="e">
            <v>#REF!</v>
          </cell>
          <cell r="K51" t="e">
            <v>#REF!</v>
          </cell>
          <cell r="L51" t="e">
            <v>#REF!</v>
          </cell>
          <cell r="M51" t="e">
            <v>#REF!</v>
          </cell>
          <cell r="U51" t="e">
            <v>#REF!</v>
          </cell>
          <cell r="V51" t="e">
            <v>#REF!</v>
          </cell>
          <cell r="W51" t="e">
            <v>#REF!</v>
          </cell>
          <cell r="X51" t="e">
            <v>#REF!</v>
          </cell>
          <cell r="Y51" t="e">
            <v>#REF!</v>
          </cell>
        </row>
        <row r="52">
          <cell r="J52" t="e">
            <v>#REF!</v>
          </cell>
          <cell r="K52" t="e">
            <v>#REF!</v>
          </cell>
          <cell r="L52" t="e">
            <v>#REF!</v>
          </cell>
          <cell r="M52" t="e">
            <v>#REF!</v>
          </cell>
          <cell r="U52" t="e">
            <v>#REF!</v>
          </cell>
          <cell r="V52" t="e">
            <v>#REF!</v>
          </cell>
          <cell r="W52" t="e">
            <v>#REF!</v>
          </cell>
          <cell r="X52" t="e">
            <v>#REF!</v>
          </cell>
          <cell r="Y52" t="e">
            <v>#REF!</v>
          </cell>
        </row>
        <row r="53">
          <cell r="J53" t="e">
            <v>#REF!</v>
          </cell>
          <cell r="K53" t="e">
            <v>#REF!</v>
          </cell>
          <cell r="L53" t="e">
            <v>#REF!</v>
          </cell>
          <cell r="M53" t="e">
            <v>#REF!</v>
          </cell>
          <cell r="U53" t="e">
            <v>#REF!</v>
          </cell>
          <cell r="V53" t="e">
            <v>#REF!</v>
          </cell>
          <cell r="W53" t="e">
            <v>#REF!</v>
          </cell>
          <cell r="X53" t="e">
            <v>#REF!</v>
          </cell>
          <cell r="Y53" t="e">
            <v>#REF!</v>
          </cell>
        </row>
        <row r="54">
          <cell r="U54" t="e">
            <v>#REF!</v>
          </cell>
          <cell r="V54" t="e">
            <v>#REF!</v>
          </cell>
          <cell r="W54" t="e">
            <v>#REF!</v>
          </cell>
          <cell r="X54" t="e">
            <v>#REF!</v>
          </cell>
          <cell r="Y54" t="e">
            <v>#REF!</v>
          </cell>
        </row>
        <row r="64">
          <cell r="J64" t="e">
            <v>#REF!</v>
          </cell>
          <cell r="K64" t="e">
            <v>#REF!</v>
          </cell>
          <cell r="L64" t="e">
            <v>#REF!</v>
          </cell>
          <cell r="M64" t="e">
            <v>#REF!</v>
          </cell>
          <cell r="N64" t="e">
            <v>#REF!</v>
          </cell>
        </row>
        <row r="65">
          <cell r="J65" t="e">
            <v>#REF!</v>
          </cell>
          <cell r="K65" t="e">
            <v>#REF!</v>
          </cell>
          <cell r="L65" t="e">
            <v>#REF!</v>
          </cell>
          <cell r="M65" t="e">
            <v>#REF!</v>
          </cell>
          <cell r="N65" t="e">
            <v>#REF!</v>
          </cell>
        </row>
        <row r="66">
          <cell r="J66" t="e">
            <v>#REF!</v>
          </cell>
          <cell r="K66" t="e">
            <v>#REF!</v>
          </cell>
          <cell r="L66" t="e">
            <v>#REF!</v>
          </cell>
          <cell r="M66" t="e">
            <v>#REF!</v>
          </cell>
          <cell r="N66" t="e">
            <v>#REF!</v>
          </cell>
        </row>
        <row r="69">
          <cell r="U69" t="e">
            <v>#REF!</v>
          </cell>
          <cell r="V69" t="e">
            <v>#REF!</v>
          </cell>
          <cell r="W69" t="e">
            <v>#REF!</v>
          </cell>
          <cell r="X69" t="e">
            <v>#REF!</v>
          </cell>
          <cell r="Y69" t="e">
            <v>#REF!</v>
          </cell>
        </row>
        <row r="70">
          <cell r="U70" t="e">
            <v>#REF!</v>
          </cell>
          <cell r="V70" t="e">
            <v>#REF!</v>
          </cell>
          <cell r="W70" t="e">
            <v>#REF!</v>
          </cell>
          <cell r="X70" t="e">
            <v>#REF!</v>
          </cell>
          <cell r="Y70" t="e">
            <v>#REF!</v>
          </cell>
        </row>
        <row r="71">
          <cell r="U71" t="e">
            <v>#REF!</v>
          </cell>
          <cell r="V71" t="e">
            <v>#REF!</v>
          </cell>
          <cell r="W71" t="e">
            <v>#REF!</v>
          </cell>
          <cell r="X71" t="e">
            <v>#REF!</v>
          </cell>
          <cell r="Y71" t="e">
            <v>#REF!</v>
          </cell>
        </row>
        <row r="72">
          <cell r="U72" t="e">
            <v>#REF!</v>
          </cell>
          <cell r="V72" t="e">
            <v>#REF!</v>
          </cell>
          <cell r="W72" t="e">
            <v>#REF!</v>
          </cell>
          <cell r="X72" t="e">
            <v>#REF!</v>
          </cell>
          <cell r="Y72" t="e">
            <v>#REF!</v>
          </cell>
        </row>
        <row r="86">
          <cell r="U86" t="e">
            <v>#REF!</v>
          </cell>
          <cell r="V86" t="e">
            <v>#REF!</v>
          </cell>
          <cell r="W86" t="e">
            <v>#REF!</v>
          </cell>
          <cell r="X86" t="e">
            <v>#REF!</v>
          </cell>
          <cell r="Y86" t="e">
            <v>#REF!</v>
          </cell>
        </row>
        <row r="87">
          <cell r="U87" t="e">
            <v>#REF!</v>
          </cell>
          <cell r="V87" t="e">
            <v>#REF!</v>
          </cell>
          <cell r="W87" t="e">
            <v>#REF!</v>
          </cell>
          <cell r="X87" t="e">
            <v>#REF!</v>
          </cell>
          <cell r="Y87" t="e">
            <v>#REF!</v>
          </cell>
        </row>
      </sheetData>
      <sheetData sheetId="6" refreshError="1">
        <row r="4">
          <cell r="I4" t="e">
            <v>#REF!</v>
          </cell>
          <cell r="J4" t="e">
            <v>#REF!</v>
          </cell>
          <cell r="K4" t="e">
            <v>#REF!</v>
          </cell>
          <cell r="L4" t="e">
            <v>#REF!</v>
          </cell>
          <cell r="M4" t="e">
            <v>#REF!</v>
          </cell>
        </row>
        <row r="5">
          <cell r="I5" t="e">
            <v>#REF!</v>
          </cell>
          <cell r="J5" t="e">
            <v>#REF!</v>
          </cell>
          <cell r="K5" t="e">
            <v>#REF!</v>
          </cell>
          <cell r="L5" t="e">
            <v>#REF!</v>
          </cell>
        </row>
        <row r="6">
          <cell r="I6" t="e">
            <v>#REF!</v>
          </cell>
          <cell r="J6" t="e">
            <v>#REF!</v>
          </cell>
          <cell r="K6" t="e">
            <v>#REF!</v>
          </cell>
          <cell r="L6" t="e">
            <v>#REF!</v>
          </cell>
        </row>
        <row r="51">
          <cell r="I51" t="e">
            <v>#REF!</v>
          </cell>
          <cell r="J51" t="e">
            <v>#REF!</v>
          </cell>
          <cell r="K51" t="e">
            <v>#REF!</v>
          </cell>
          <cell r="L51" t="e">
            <v>#REF!</v>
          </cell>
          <cell r="M51" t="e">
            <v>#REF!</v>
          </cell>
          <cell r="N51" t="e">
            <v>#REF!</v>
          </cell>
        </row>
        <row r="52">
          <cell r="I52" t="e">
            <v>#REF!</v>
          </cell>
          <cell r="J52" t="e">
            <v>#REF!</v>
          </cell>
          <cell r="K52" t="e">
            <v>#REF!</v>
          </cell>
          <cell r="L52" t="e">
            <v>#REF!</v>
          </cell>
          <cell r="M52" t="e">
            <v>#REF!</v>
          </cell>
        </row>
        <row r="53">
          <cell r="I53" t="e">
            <v>#REF!</v>
          </cell>
          <cell r="J53" t="e">
            <v>#REF!</v>
          </cell>
          <cell r="K53" t="e">
            <v>#REF!</v>
          </cell>
          <cell r="L53" t="e">
            <v>#REF!</v>
          </cell>
        </row>
        <row r="54">
          <cell r="I54" t="e">
            <v>#REF!</v>
          </cell>
          <cell r="J54" t="e">
            <v>#REF!</v>
          </cell>
          <cell r="K54" t="e">
            <v>#REF!</v>
          </cell>
          <cell r="L54" t="e">
            <v>#REF!</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枚目"/>
      <sheetName val="２枚目"/>
      <sheetName val="過去方法"/>
      <sheetName val="ｸﾞﾗﾌﾃﾞｰﾀ"/>
    </sheetNames>
    <sheetDataSet>
      <sheetData sheetId="0" refreshError="1"/>
      <sheetData sheetId="1" refreshError="1"/>
      <sheetData sheetId="2" refreshError="1"/>
      <sheetData sheetId="3" refreshError="1">
        <row r="4">
          <cell r="F4" t="e">
            <v>#REF!</v>
          </cell>
        </row>
        <row r="5">
          <cell r="F5" t="e">
            <v>#REF!</v>
          </cell>
        </row>
        <row r="6">
          <cell r="F6" t="e">
            <v>#REF!</v>
          </cell>
        </row>
        <row r="7">
          <cell r="F7" t="e">
            <v>#REF!</v>
          </cell>
        </row>
        <row r="8">
          <cell r="F8" t="e">
            <v>#REF!</v>
          </cell>
        </row>
        <row r="9">
          <cell r="F9" t="e">
            <v>#REF!</v>
          </cell>
        </row>
        <row r="10">
          <cell r="F10" t="e">
            <v>#REF!</v>
          </cell>
        </row>
        <row r="11">
          <cell r="F11" t="e">
            <v>#REF!</v>
          </cell>
        </row>
        <row r="12">
          <cell r="F12" t="e">
            <v>#REF!</v>
          </cell>
        </row>
        <row r="13">
          <cell r="F13" t="e">
            <v>#REF!</v>
          </cell>
        </row>
        <row r="14">
          <cell r="F14" t="e">
            <v>#REF!</v>
          </cell>
        </row>
        <row r="15">
          <cell r="F15" t="e">
            <v>#REF!</v>
          </cell>
        </row>
        <row r="16">
          <cell r="F16" t="e">
            <v>#REF!</v>
          </cell>
        </row>
        <row r="17">
          <cell r="F17" t="e">
            <v>#REF!</v>
          </cell>
        </row>
        <row r="18">
          <cell r="F18" t="e">
            <v>#REF!</v>
          </cell>
        </row>
        <row r="19">
          <cell r="F19" t="e">
            <v>#REF!</v>
          </cell>
        </row>
        <row r="20">
          <cell r="F20" t="e">
            <v>#REF!</v>
          </cell>
        </row>
        <row r="21">
          <cell r="F21" t="e">
            <v>#REF!</v>
          </cell>
        </row>
        <row r="22">
          <cell r="F22" t="e">
            <v>#REF!</v>
          </cell>
        </row>
        <row r="23">
          <cell r="F23" t="e">
            <v>#REF!</v>
          </cell>
        </row>
        <row r="24">
          <cell r="F24" t="e">
            <v>#REF!</v>
          </cell>
        </row>
        <row r="25">
          <cell r="F25" t="e">
            <v>#REF!</v>
          </cell>
        </row>
        <row r="26">
          <cell r="F26" t="e">
            <v>#REF!</v>
          </cell>
        </row>
        <row r="27">
          <cell r="F27" t="e">
            <v>#REF!</v>
          </cell>
        </row>
        <row r="28">
          <cell r="F28" t="e">
            <v>#REF!</v>
          </cell>
        </row>
        <row r="29">
          <cell r="F29" t="e">
            <v>#REF!</v>
          </cell>
        </row>
        <row r="30">
          <cell r="F30" t="e">
            <v>#REF!</v>
          </cell>
        </row>
        <row r="31">
          <cell r="F31" t="e">
            <v>#REF!</v>
          </cell>
        </row>
        <row r="32">
          <cell r="F32" t="e">
            <v>#REF!</v>
          </cell>
        </row>
        <row r="33">
          <cell r="F33" t="e">
            <v>#REF!</v>
          </cell>
        </row>
        <row r="34">
          <cell r="F34" t="e">
            <v>#REF!</v>
          </cell>
        </row>
        <row r="35">
          <cell r="F35" t="e">
            <v>#REF!</v>
          </cell>
        </row>
        <row r="36">
          <cell r="F36" t="e">
            <v>#REF!</v>
          </cell>
        </row>
        <row r="37">
          <cell r="F37" t="e">
            <v>#REF!</v>
          </cell>
        </row>
        <row r="38">
          <cell r="F38" t="e">
            <v>#REF!</v>
          </cell>
        </row>
        <row r="39">
          <cell r="F39" t="e">
            <v>#REF!</v>
          </cell>
        </row>
        <row r="40">
          <cell r="F40" t="e">
            <v>#REF!</v>
          </cell>
        </row>
        <row r="41">
          <cell r="F41" t="e">
            <v>#REF!</v>
          </cell>
        </row>
        <row r="42">
          <cell r="F42" t="e">
            <v>#REF!</v>
          </cell>
        </row>
        <row r="43">
          <cell r="F43" t="e">
            <v>#REF!</v>
          </cell>
        </row>
        <row r="44">
          <cell r="F44" t="e">
            <v>#REF!</v>
          </cell>
        </row>
        <row r="45">
          <cell r="F45" t="e">
            <v>#REF!</v>
          </cell>
        </row>
        <row r="46">
          <cell r="F46" t="e">
            <v>#REF!</v>
          </cell>
        </row>
        <row r="47">
          <cell r="F47" t="e">
            <v>#REF!</v>
          </cell>
        </row>
        <row r="48">
          <cell r="F48" t="e">
            <v>#REF!</v>
          </cell>
        </row>
        <row r="49">
          <cell r="F49" t="e">
            <v>#REF!</v>
          </cell>
        </row>
        <row r="50">
          <cell r="F50" t="e">
            <v>#REF!</v>
          </cell>
        </row>
        <row r="51">
          <cell r="F51" t="e">
            <v>#REF!</v>
          </cell>
        </row>
        <row r="52">
          <cell r="F52" t="e">
            <v>#REF!</v>
          </cell>
        </row>
        <row r="53">
          <cell r="F53" t="e">
            <v>#REF!</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ﾗﾌ（Pana）"/>
      <sheetName val="表"/>
      <sheetName val="銘柄マスタ"/>
      <sheetName val="2020月別"/>
      <sheetName val="密度"/>
      <sheetName val="2021月別"/>
      <sheetName val="任意定義"/>
    </sheetNames>
    <sheetDataSet>
      <sheetData sheetId="0" refreshError="1"/>
      <sheetData sheetId="1">
        <row r="6">
          <cell r="D6" t="e">
            <v>#REF!</v>
          </cell>
          <cell r="F6" t="e">
            <v>#REF!</v>
          </cell>
        </row>
        <row r="7">
          <cell r="D7" t="e">
            <v>#REF!</v>
          </cell>
          <cell r="F7" t="e">
            <v>#REF!</v>
          </cell>
        </row>
        <row r="8">
          <cell r="D8" t="e">
            <v>#REF!</v>
          </cell>
          <cell r="F8" t="e">
            <v>#REF!</v>
          </cell>
        </row>
        <row r="9">
          <cell r="D9" t="e">
            <v>#REF!</v>
          </cell>
          <cell r="F9" t="e">
            <v>#REF!</v>
          </cell>
        </row>
        <row r="10">
          <cell r="D10" t="e">
            <v>#REF!</v>
          </cell>
          <cell r="F10" t="e">
            <v>#REF!</v>
          </cell>
        </row>
        <row r="11">
          <cell r="D11" t="e">
            <v>#REF!</v>
          </cell>
          <cell r="F11" t="e">
            <v>#REF!</v>
          </cell>
        </row>
        <row r="12">
          <cell r="D12" t="e">
            <v>#REF!</v>
          </cell>
          <cell r="F12" t="e">
            <v>#REF!</v>
          </cell>
        </row>
        <row r="13">
          <cell r="D13" t="e">
            <v>#REF!</v>
          </cell>
          <cell r="F13" t="e">
            <v>#REF!</v>
          </cell>
        </row>
        <row r="14">
          <cell r="D14" t="e">
            <v>#REF!</v>
          </cell>
          <cell r="F14" t="e">
            <v>#REF!</v>
          </cell>
        </row>
        <row r="15">
          <cell r="D15" t="e">
            <v>#REF!</v>
          </cell>
          <cell r="F15" t="e">
            <v>#REF!</v>
          </cell>
        </row>
        <row r="16">
          <cell r="D16" t="e">
            <v>#REF!</v>
          </cell>
          <cell r="F16" t="e">
            <v>#REF!</v>
          </cell>
        </row>
        <row r="17">
          <cell r="D17" t="e">
            <v>#REF!</v>
          </cell>
          <cell r="F17" t="e">
            <v>#REF!</v>
          </cell>
        </row>
        <row r="18">
          <cell r="D18" t="e">
            <v>#REF!</v>
          </cell>
          <cell r="F18" t="e">
            <v>#REF!</v>
          </cell>
        </row>
        <row r="19">
          <cell r="D19" t="e">
            <v>#REF!</v>
          </cell>
          <cell r="F19" t="e">
            <v>#REF!</v>
          </cell>
        </row>
        <row r="20">
          <cell r="D20" t="e">
            <v>#REF!</v>
          </cell>
          <cell r="F20" t="e">
            <v>#REF!</v>
          </cell>
        </row>
        <row r="21">
          <cell r="D21" t="e">
            <v>#REF!</v>
          </cell>
          <cell r="F21" t="e">
            <v>#REF!</v>
          </cell>
        </row>
        <row r="22">
          <cell r="D22" t="e">
            <v>#REF!</v>
          </cell>
          <cell r="F22" t="e">
            <v>#REF!</v>
          </cell>
        </row>
        <row r="23">
          <cell r="D23" t="e">
            <v>#REF!</v>
          </cell>
          <cell r="F23" t="e">
            <v>#REF!</v>
          </cell>
        </row>
        <row r="24">
          <cell r="D24" t="e">
            <v>#REF!</v>
          </cell>
          <cell r="F24" t="e">
            <v>#REF!</v>
          </cell>
        </row>
        <row r="25">
          <cell r="D25" t="e">
            <v>#REF!</v>
          </cell>
          <cell r="F25" t="e">
            <v>#REF!</v>
          </cell>
        </row>
        <row r="26">
          <cell r="D26" t="e">
            <v>#REF!</v>
          </cell>
          <cell r="F26" t="e">
            <v>#REF!</v>
          </cell>
        </row>
        <row r="27">
          <cell r="D27" t="e">
            <v>#REF!</v>
          </cell>
          <cell r="F27" t="e">
            <v>#REF!</v>
          </cell>
        </row>
        <row r="28">
          <cell r="D28" t="e">
            <v>#REF!</v>
          </cell>
          <cell r="F28" t="e">
            <v>#REF!</v>
          </cell>
        </row>
        <row r="29">
          <cell r="D29" t="e">
            <v>#REF!</v>
          </cell>
          <cell r="F29" t="e">
            <v>#REF!</v>
          </cell>
        </row>
        <row r="30">
          <cell r="D30" t="e">
            <v>#REF!</v>
          </cell>
          <cell r="F30" t="e">
            <v>#REF!</v>
          </cell>
        </row>
        <row r="31">
          <cell r="D31" t="e">
            <v>#REF!</v>
          </cell>
          <cell r="F31" t="e">
            <v>#REF!</v>
          </cell>
        </row>
        <row r="32">
          <cell r="D32" t="e">
            <v>#REF!</v>
          </cell>
          <cell r="F32" t="e">
            <v>#REF!</v>
          </cell>
        </row>
        <row r="33">
          <cell r="D33" t="e">
            <v>#REF!</v>
          </cell>
          <cell r="F33" t="e">
            <v>#REF!</v>
          </cell>
        </row>
        <row r="34">
          <cell r="D34" t="e">
            <v>#REF!</v>
          </cell>
          <cell r="F34" t="e">
            <v>#REF!</v>
          </cell>
        </row>
        <row r="35">
          <cell r="D35" t="e">
            <v>#REF!</v>
          </cell>
          <cell r="F35" t="e">
            <v>#REF!</v>
          </cell>
        </row>
        <row r="36">
          <cell r="D36" t="e">
            <v>#REF!</v>
          </cell>
          <cell r="F36" t="e">
            <v>#REF!</v>
          </cell>
        </row>
        <row r="37">
          <cell r="D37" t="e">
            <v>#REF!</v>
          </cell>
          <cell r="F37" t="e">
            <v>#REF!</v>
          </cell>
        </row>
        <row r="38">
          <cell r="D38" t="e">
            <v>#REF!</v>
          </cell>
          <cell r="F38" t="e">
            <v>#REF!</v>
          </cell>
        </row>
        <row r="39">
          <cell r="D39" t="e">
            <v>#REF!</v>
          </cell>
          <cell r="F39" t="e">
            <v>#REF!</v>
          </cell>
        </row>
        <row r="40">
          <cell r="D40" t="e">
            <v>#REF!</v>
          </cell>
          <cell r="F40" t="e">
            <v>#REF!</v>
          </cell>
        </row>
        <row r="41">
          <cell r="D41" t="e">
            <v>#REF!</v>
          </cell>
          <cell r="F41" t="e">
            <v>#REF!</v>
          </cell>
        </row>
        <row r="42">
          <cell r="D42" t="e">
            <v>#REF!</v>
          </cell>
          <cell r="F42" t="e">
            <v>#REF!</v>
          </cell>
        </row>
        <row r="43">
          <cell r="D43" t="e">
            <v>#REF!</v>
          </cell>
          <cell r="F43" t="e">
            <v>#REF!</v>
          </cell>
        </row>
        <row r="44">
          <cell r="D44" t="e">
            <v>#REF!</v>
          </cell>
          <cell r="F44" t="e">
            <v>#REF!</v>
          </cell>
        </row>
        <row r="45">
          <cell r="D45" t="e">
            <v>#REF!</v>
          </cell>
          <cell r="F45" t="e">
            <v>#REF!</v>
          </cell>
        </row>
        <row r="46">
          <cell r="D46" t="e">
            <v>#REF!</v>
          </cell>
          <cell r="F46" t="e">
            <v>#REF!</v>
          </cell>
        </row>
        <row r="47">
          <cell r="D47" t="e">
            <v>#REF!</v>
          </cell>
          <cell r="F47" t="e">
            <v>#REF!</v>
          </cell>
        </row>
        <row r="48">
          <cell r="D48" t="e">
            <v>#REF!</v>
          </cell>
          <cell r="F48" t="e">
            <v>#REF!</v>
          </cell>
        </row>
        <row r="49">
          <cell r="D49" t="e">
            <v>#REF!</v>
          </cell>
          <cell r="F49" t="e">
            <v>#REF!</v>
          </cell>
        </row>
        <row r="50">
          <cell r="D50" t="e">
            <v>#REF!</v>
          </cell>
          <cell r="F50" t="e">
            <v>#REF!</v>
          </cell>
        </row>
        <row r="51">
          <cell r="D51" t="e">
            <v>#REF!</v>
          </cell>
          <cell r="F51" t="e">
            <v>#REF!</v>
          </cell>
        </row>
        <row r="52">
          <cell r="D52" t="e">
            <v>#REF!</v>
          </cell>
          <cell r="F52" t="e">
            <v>#REF!</v>
          </cell>
        </row>
        <row r="53">
          <cell r="D53" t="e">
            <v>#REF!</v>
          </cell>
          <cell r="F53" t="e">
            <v>#REF!</v>
          </cell>
        </row>
        <row r="54">
          <cell r="D54" t="e">
            <v>#REF!</v>
          </cell>
          <cell r="F54" t="e">
            <v>#REF!</v>
          </cell>
        </row>
        <row r="55">
          <cell r="D55" t="e">
            <v>#REF!</v>
          </cell>
          <cell r="F55" t="e">
            <v>#REF!</v>
          </cell>
        </row>
        <row r="56">
          <cell r="D56" t="e">
            <v>#REF!</v>
          </cell>
          <cell r="F56" t="e">
            <v>#REF!</v>
          </cell>
        </row>
        <row r="57">
          <cell r="D57" t="e">
            <v>#REF!</v>
          </cell>
          <cell r="F57" t="e">
            <v>#REF!</v>
          </cell>
        </row>
        <row r="58">
          <cell r="D58" t="e">
            <v>#REF!</v>
          </cell>
          <cell r="F58" t="e">
            <v>#REF!</v>
          </cell>
        </row>
        <row r="59">
          <cell r="D59" t="e">
            <v>#REF!</v>
          </cell>
          <cell r="F59" t="e">
            <v>#REF!</v>
          </cell>
        </row>
        <row r="60">
          <cell r="D60" t="e">
            <v>#REF!</v>
          </cell>
          <cell r="F60" t="e">
            <v>#REF!</v>
          </cell>
        </row>
        <row r="61">
          <cell r="D61" t="e">
            <v>#REF!</v>
          </cell>
          <cell r="F61" t="e">
            <v>#REF!</v>
          </cell>
        </row>
        <row r="62">
          <cell r="D62" t="e">
            <v>#REF!</v>
          </cell>
          <cell r="F62" t="e">
            <v>#REF!</v>
          </cell>
        </row>
        <row r="63">
          <cell r="D63" t="e">
            <v>#REF!</v>
          </cell>
          <cell r="F63" t="e">
            <v>#REF!</v>
          </cell>
        </row>
        <row r="64">
          <cell r="D64" t="e">
            <v>#REF!</v>
          </cell>
          <cell r="F64" t="e">
            <v>#REF!</v>
          </cell>
        </row>
        <row r="65">
          <cell r="D65" t="e">
            <v>#REF!</v>
          </cell>
          <cell r="F65" t="e">
            <v>#REF!</v>
          </cell>
        </row>
      </sheetData>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作成者" id="{34533D44-7C1B-5E6C-C008-8301341E2BBE}"/>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L14" personId="{34533D44-7C1B-5E6C-C008-8301341E2BBE}" id="{DD0E4BDA-3D59-45AA-8DE6-0DF738F12FD6}" done="0">
    <text xml:space="preserve">都道府県を選択してください
</text>
  </threadedComment>
  <threadedComment ref="Q14" personId="{34533D44-7C1B-5E6C-C008-8301341E2BBE}" id="{3E2A40B1-666E-46FF-B2D8-D7012978595A}" done="0">
    <text xml:space="preserve">市区町村を選択してください
</text>
  </threadedComment>
  <threadedComment ref="X14" personId="{34533D44-7C1B-5E6C-C008-8301341E2BBE}" id="{622147F3-9498-4A18-BA04-3B381EE7F73E}" done="0">
    <text xml:space="preserve">・番地以降を入力してください。
・市区町村で「その他」を選択の場合は市区町村以降をご記入ください。
</text>
  </threadedComment>
  <threadedComment ref="AT14" personId="{34533D44-7C1B-5E6C-C008-8301341E2BBE}" id="{CC49310D-8F1E-481B-B753-84C65485A677}" done="0">
    <text xml:space="preserve">都道府県を選択してください
</text>
  </threadedComment>
  <threadedComment ref="AY14" personId="{34533D44-7C1B-5E6C-C008-8301341E2BBE}" id="{1BCABD9A-FE39-479A-AA27-791C4B7A7ADA}" done="0">
    <text xml:space="preserve">市区町村を選択してください
</text>
  </threadedComment>
  <threadedComment ref="BF14" personId="{34533D44-7C1B-5E6C-C008-8301341E2BBE}" id="{089B867A-041E-4080-837A-8C73B8D4FEC8}" done="0">
    <text xml:space="preserve">・番地以降を入力してください。
・市区町村で「その他」を選択の場合は市区町村以降をご記入ください。
</text>
  </threadedComment>
  <threadedComment ref="L17" personId="{34533D44-7C1B-5E6C-C008-8301341E2BBE}" id="{F27CFA97-2E67-4BC9-9CEB-DCE7F1CFD9BB}" done="0">
    <text xml:space="preserve">自動判定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3.xml.rels><?xml version="1.0" encoding="UTF-8" standalone="yes"?><Relationships xmlns="http://schemas.openxmlformats.org/package/2006/relationships"><Relationship  Id="rId1" Type="http://schemas.openxmlformats.org/officeDocument/2006/relationships/hyperlink" Target="https://support.google.com/maps/answer/18539?hl=ja&amp;co=GENIE.Platform%3DDesktop" TargetMode="External"/><Relationship  Id="rId2" Type="http://schemas.openxmlformats.org/officeDocument/2006/relationships/hyperlink" Target="https://maps.gsi.go.jp/help/intro/kinolist/2-jusho.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1">
    <tabColor indexed="5"/>
    <outlinePr applyStyles="0" summaryBelow="1" summaryRight="1" showOutlineSymbols="1"/>
    <pageSetUpPr autoPageBreaks="1" fitToPage="1"/>
  </sheetPr>
  <sheetViews>
    <sheetView showGridLines="0" view="pageBreakPreview" zoomScale="85" workbookViewId="0">
      <selection activeCell="L16" activeCellId="0" sqref="L16:Q16"/>
    </sheetView>
  </sheetViews>
  <sheetFormatPr baseColWidth="8" defaultRowHeight="14.25"/>
  <cols>
    <col customWidth="1" min="1" max="10" style="1" width="2.36328125"/>
    <col customWidth="1" min="11" max="11" style="1" width="6.6328125"/>
    <col customWidth="1" min="12" max="44" style="1" width="2.36328125"/>
    <col customWidth="1" min="45" max="45" style="1" width="6.54296875"/>
    <col customWidth="1" min="46" max="69" style="1" width="2.36328125"/>
    <col customWidth="1" min="70" max="70" style="1" width="4"/>
    <col customWidth="1" hidden="1" min="71" max="71" style="1" width="2.36328125"/>
    <col customWidth="1" hidden="1" min="72" max="72" style="1" width="6.36328125"/>
    <col customWidth="1" hidden="1" min="73" max="73" style="1" width="6.6328125"/>
    <col customWidth="1" hidden="1" min="74" max="74" style="1" width="5.453125"/>
    <col customWidth="1" min="75" max="77" style="1" width="2.36328125"/>
  </cols>
  <sheetData>
    <row r="1" ht="30.75" customHeight="1">
      <c r="A1" s="2"/>
      <c r="B1" s="3" t="s">
        <v>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4"/>
      <c r="AJ1" s="5"/>
      <c r="AK1" s="5"/>
      <c r="AL1" s="6" t="s">
        <v>1</v>
      </c>
      <c r="AM1" s="7"/>
      <c r="AN1" s="7"/>
      <c r="AO1" s="7"/>
      <c r="AP1" s="7"/>
      <c r="AQ1" s="7"/>
      <c r="AR1" s="7"/>
      <c r="AS1" s="7"/>
      <c r="AT1" s="7"/>
      <c r="AU1" s="7"/>
      <c r="AV1" s="7"/>
      <c r="AW1" s="7"/>
      <c r="AX1" s="7"/>
      <c r="AY1" s="7"/>
      <c r="AZ1" s="7"/>
      <c r="BA1" s="7"/>
      <c r="BB1" s="7"/>
      <c r="BC1" s="7"/>
      <c r="BD1" s="7"/>
      <c r="BE1" s="7"/>
      <c r="BF1" s="7"/>
      <c r="BG1" s="7"/>
      <c r="BH1" s="7"/>
      <c r="BI1" s="7"/>
      <c r="BJ1" s="7"/>
      <c r="BK1" s="7"/>
      <c r="BL1" s="7"/>
      <c r="BM1" s="7"/>
      <c r="BN1" s="5"/>
      <c r="BO1" s="5"/>
      <c r="BP1" s="8"/>
    </row>
    <row r="2" ht="15" customHeight="1">
      <c r="A2" s="2"/>
      <c r="B2" s="9" t="s">
        <v>2</v>
      </c>
      <c r="C2" s="10"/>
      <c r="D2" s="10"/>
      <c r="E2" s="10"/>
      <c r="F2" s="10"/>
      <c r="G2" s="10"/>
      <c r="H2" s="10"/>
      <c r="I2" s="10"/>
      <c r="J2" s="10"/>
      <c r="K2" s="11"/>
      <c r="L2" s="12" t="s">
        <v>3</v>
      </c>
      <c r="M2" s="13"/>
      <c r="N2" s="13"/>
      <c r="O2" s="13"/>
      <c r="P2" s="13"/>
      <c r="Q2" s="13"/>
      <c r="R2" s="13"/>
      <c r="S2" s="13"/>
      <c r="T2" s="13"/>
      <c r="U2" s="13"/>
      <c r="V2" s="13"/>
      <c r="W2" s="13"/>
      <c r="X2" s="13"/>
      <c r="Y2" s="13"/>
      <c r="Z2" s="13"/>
      <c r="AA2" s="13"/>
      <c r="AB2" s="13"/>
      <c r="AC2" s="13"/>
      <c r="AD2" s="13"/>
      <c r="AE2" s="13"/>
      <c r="AF2" s="13"/>
      <c r="AG2" s="14"/>
      <c r="AH2" s="2"/>
      <c r="AI2" s="15"/>
      <c r="AJ2" s="9" t="s">
        <v>4</v>
      </c>
      <c r="AK2" s="10"/>
      <c r="AL2" s="10"/>
      <c r="AM2" s="10"/>
      <c r="AN2" s="10"/>
      <c r="AO2" s="10"/>
      <c r="AP2" s="10"/>
      <c r="AQ2" s="10"/>
      <c r="AR2" s="10"/>
      <c r="AS2" s="11"/>
      <c r="AT2" s="16" t="s">
        <v>5</v>
      </c>
      <c r="AU2" s="10"/>
      <c r="AV2" s="10"/>
      <c r="AW2" s="10"/>
      <c r="AX2" s="10"/>
      <c r="AY2" s="10"/>
      <c r="AZ2" s="10"/>
      <c r="BA2" s="10"/>
      <c r="BB2" s="10"/>
      <c r="BC2" s="10"/>
      <c r="BD2" s="10"/>
      <c r="BE2" s="10"/>
      <c r="BF2" s="10"/>
      <c r="BG2" s="10"/>
      <c r="BH2" s="10"/>
      <c r="BI2" s="10"/>
      <c r="BJ2" s="10"/>
      <c r="BK2" s="10"/>
      <c r="BL2" s="10"/>
      <c r="BM2" s="10"/>
      <c r="BN2" s="10"/>
      <c r="BO2" s="11"/>
      <c r="BP2" s="17"/>
      <c r="BT2" s="18">
        <f>IF(AND(BT5,BT6,BT7,BT8,BT9,BT14,BU14,BV14,BT16,BT18,BT19,BT24,BT28),1,0)</f>
        <v>0</v>
      </c>
    </row>
    <row r="3" ht="15" customHeight="1">
      <c r="A3" s="2"/>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2"/>
      <c r="AI3" s="15"/>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7"/>
    </row>
    <row r="4" ht="15" customHeight="1">
      <c r="A4" s="2"/>
      <c r="B4" s="19" t="s">
        <v>6</v>
      </c>
      <c r="L4" s="19"/>
      <c r="M4" s="19"/>
      <c r="N4" s="19"/>
      <c r="O4" s="19"/>
      <c r="P4" s="19"/>
      <c r="Q4" s="19"/>
      <c r="R4" s="19"/>
      <c r="S4" s="19"/>
      <c r="T4" s="19"/>
      <c r="U4" s="19"/>
      <c r="V4" s="19"/>
      <c r="W4" s="19"/>
      <c r="X4" s="19"/>
      <c r="Y4" s="19"/>
      <c r="Z4" s="19"/>
      <c r="AA4" s="19"/>
      <c r="AB4" s="19"/>
      <c r="AC4" s="19"/>
      <c r="AD4" s="19"/>
      <c r="AE4" s="19"/>
      <c r="AF4" s="19"/>
      <c r="AG4" s="19"/>
      <c r="AH4" s="2"/>
      <c r="AI4" s="15"/>
      <c r="AJ4" s="19" t="s">
        <v>6</v>
      </c>
      <c r="AT4" s="19"/>
      <c r="AU4" s="19"/>
      <c r="AV4" s="19"/>
      <c r="AW4" s="19"/>
      <c r="AX4" s="19"/>
      <c r="AY4" s="19"/>
      <c r="AZ4" s="19"/>
      <c r="BA4" s="19"/>
      <c r="BB4" s="19"/>
      <c r="BC4" s="19"/>
      <c r="BD4" s="19"/>
      <c r="BE4" s="19"/>
      <c r="BF4" s="19"/>
      <c r="BG4" s="19"/>
      <c r="BH4" s="19"/>
      <c r="BI4" s="19"/>
      <c r="BJ4" s="19"/>
      <c r="BK4" s="19"/>
      <c r="BL4" s="19"/>
      <c r="BM4" s="19"/>
      <c r="BN4" s="19"/>
      <c r="BO4" s="19"/>
      <c r="BP4" s="17"/>
    </row>
    <row r="5" ht="15" customHeight="1">
      <c r="A5" s="2"/>
      <c r="B5" s="20" t="s">
        <v>7</v>
      </c>
      <c r="C5" s="10"/>
      <c r="D5" s="10"/>
      <c r="E5" s="10"/>
      <c r="F5" s="10"/>
      <c r="G5" s="10"/>
      <c r="H5" s="10"/>
      <c r="I5" s="10"/>
      <c r="J5" s="10"/>
      <c r="K5" s="11"/>
      <c r="L5" s="21" t="s">
        <v>8</v>
      </c>
      <c r="M5" s="13"/>
      <c r="N5" s="13"/>
      <c r="O5" s="13"/>
      <c r="P5" s="13"/>
      <c r="Q5" s="13"/>
      <c r="R5" s="13"/>
      <c r="S5" s="13"/>
      <c r="T5" s="13"/>
      <c r="U5" s="13"/>
      <c r="V5" s="13"/>
      <c r="W5" s="13"/>
      <c r="X5" s="13"/>
      <c r="Y5" s="13"/>
      <c r="Z5" s="13"/>
      <c r="AA5" s="13"/>
      <c r="AB5" s="13"/>
      <c r="AC5" s="13"/>
      <c r="AD5" s="13"/>
      <c r="AE5" s="13"/>
      <c r="AF5" s="13"/>
      <c r="AG5" s="14"/>
      <c r="AH5" s="2"/>
      <c r="AI5" s="15"/>
      <c r="AJ5" s="20" t="s">
        <v>9</v>
      </c>
      <c r="AK5" s="10"/>
      <c r="AL5" s="10"/>
      <c r="AM5" s="10"/>
      <c r="AN5" s="10"/>
      <c r="AO5" s="10"/>
      <c r="AP5" s="10"/>
      <c r="AQ5" s="10"/>
      <c r="AR5" s="10"/>
      <c r="AS5" s="11"/>
      <c r="AT5" s="22" t="s">
        <v>10</v>
      </c>
      <c r="AU5" s="10"/>
      <c r="AV5" s="10"/>
      <c r="AW5" s="10"/>
      <c r="AX5" s="10"/>
      <c r="AY5" s="10"/>
      <c r="AZ5" s="10"/>
      <c r="BA5" s="10"/>
      <c r="BB5" s="10"/>
      <c r="BC5" s="10"/>
      <c r="BD5" s="10"/>
      <c r="BE5" s="10"/>
      <c r="BF5" s="10"/>
      <c r="BG5" s="10"/>
      <c r="BH5" s="10"/>
      <c r="BI5" s="10"/>
      <c r="BJ5" s="10"/>
      <c r="BK5" s="10"/>
      <c r="BL5" s="10"/>
      <c r="BM5" s="10"/>
      <c r="BN5" s="10"/>
      <c r="BO5" s="11"/>
      <c r="BP5" s="17"/>
      <c r="BT5" s="18">
        <f t="shared" ref="BT5:BT9" si="0">IF(L5="",0,1)</f>
        <v>1</v>
      </c>
    </row>
    <row r="6" ht="15" customHeight="1">
      <c r="A6" s="2"/>
      <c r="B6" s="20" t="s">
        <v>11</v>
      </c>
      <c r="C6" s="10"/>
      <c r="D6" s="10"/>
      <c r="E6" s="10"/>
      <c r="F6" s="10"/>
      <c r="G6" s="10"/>
      <c r="H6" s="10"/>
      <c r="I6" s="10"/>
      <c r="J6" s="10"/>
      <c r="K6" s="11"/>
      <c r="L6" s="21"/>
      <c r="M6" s="13"/>
      <c r="N6" s="13"/>
      <c r="O6" s="13"/>
      <c r="P6" s="13"/>
      <c r="Q6" s="13"/>
      <c r="R6" s="13"/>
      <c r="S6" s="13"/>
      <c r="T6" s="13"/>
      <c r="U6" s="13"/>
      <c r="V6" s="13"/>
      <c r="W6" s="13"/>
      <c r="X6" s="13"/>
      <c r="Y6" s="13"/>
      <c r="Z6" s="13"/>
      <c r="AA6" s="13"/>
      <c r="AB6" s="13"/>
      <c r="AC6" s="13"/>
      <c r="AD6" s="13"/>
      <c r="AE6" s="13"/>
      <c r="AF6" s="13"/>
      <c r="AG6" s="14"/>
      <c r="AH6" s="2"/>
      <c r="AI6" s="15"/>
      <c r="AJ6" s="20" t="s">
        <v>12</v>
      </c>
      <c r="AK6" s="10"/>
      <c r="AL6" s="10"/>
      <c r="AM6" s="10"/>
      <c r="AN6" s="10"/>
      <c r="AO6" s="10"/>
      <c r="AP6" s="10"/>
      <c r="AQ6" s="10"/>
      <c r="AR6" s="10"/>
      <c r="AS6" s="11"/>
      <c r="AT6" s="22" t="s">
        <v>13</v>
      </c>
      <c r="AU6" s="10"/>
      <c r="AV6" s="10"/>
      <c r="AW6" s="10"/>
      <c r="AX6" s="10"/>
      <c r="AY6" s="10"/>
      <c r="AZ6" s="10"/>
      <c r="BA6" s="10"/>
      <c r="BB6" s="10"/>
      <c r="BC6" s="10"/>
      <c r="BD6" s="10"/>
      <c r="BE6" s="10"/>
      <c r="BF6" s="10"/>
      <c r="BG6" s="10"/>
      <c r="BH6" s="10"/>
      <c r="BI6" s="10"/>
      <c r="BJ6" s="10"/>
      <c r="BK6" s="10"/>
      <c r="BL6" s="10"/>
      <c r="BM6" s="10"/>
      <c r="BN6" s="10"/>
      <c r="BO6" s="11"/>
      <c r="BP6" s="17"/>
      <c r="BT6" s="18">
        <f t="shared" si="0"/>
        <v>0</v>
      </c>
    </row>
    <row r="7" ht="15" customHeight="1">
      <c r="A7" s="2"/>
      <c r="B7" s="20" t="s">
        <v>14</v>
      </c>
      <c r="C7" s="10"/>
      <c r="D7" s="10"/>
      <c r="E7" s="10"/>
      <c r="F7" s="10"/>
      <c r="G7" s="10"/>
      <c r="H7" s="10"/>
      <c r="I7" s="10"/>
      <c r="J7" s="10"/>
      <c r="K7" s="11"/>
      <c r="L7" s="21" t="s">
        <v>15</v>
      </c>
      <c r="M7" s="13"/>
      <c r="N7" s="13"/>
      <c r="O7" s="13"/>
      <c r="P7" s="13"/>
      <c r="Q7" s="13"/>
      <c r="R7" s="13"/>
      <c r="S7" s="13"/>
      <c r="T7" s="13"/>
      <c r="U7" s="13"/>
      <c r="V7" s="13"/>
      <c r="W7" s="13"/>
      <c r="X7" s="13"/>
      <c r="Y7" s="13"/>
      <c r="Z7" s="13"/>
      <c r="AA7" s="13"/>
      <c r="AB7" s="13"/>
      <c r="AC7" s="13"/>
      <c r="AD7" s="13"/>
      <c r="AE7" s="13"/>
      <c r="AF7" s="13"/>
      <c r="AG7" s="14"/>
      <c r="AH7" s="2"/>
      <c r="AI7" s="15"/>
      <c r="AJ7" s="20" t="s">
        <v>16</v>
      </c>
      <c r="AK7" s="10"/>
      <c r="AL7" s="10"/>
      <c r="AM7" s="10"/>
      <c r="AN7" s="10"/>
      <c r="AO7" s="10"/>
      <c r="AP7" s="10"/>
      <c r="AQ7" s="10"/>
      <c r="AR7" s="10"/>
      <c r="AS7" s="11"/>
      <c r="AT7" s="22" t="s">
        <v>17</v>
      </c>
      <c r="AU7" s="10"/>
      <c r="AV7" s="10"/>
      <c r="AW7" s="10"/>
      <c r="AX7" s="10"/>
      <c r="AY7" s="10"/>
      <c r="AZ7" s="10"/>
      <c r="BA7" s="10"/>
      <c r="BB7" s="10"/>
      <c r="BC7" s="10"/>
      <c r="BD7" s="10"/>
      <c r="BE7" s="10"/>
      <c r="BF7" s="10"/>
      <c r="BG7" s="10"/>
      <c r="BH7" s="10"/>
      <c r="BI7" s="10"/>
      <c r="BJ7" s="10"/>
      <c r="BK7" s="10"/>
      <c r="BL7" s="10"/>
      <c r="BM7" s="10"/>
      <c r="BN7" s="10"/>
      <c r="BO7" s="11"/>
      <c r="BP7" s="17"/>
      <c r="BT7" s="18">
        <f t="shared" si="0"/>
        <v>1</v>
      </c>
    </row>
    <row r="8" ht="15" customHeight="1">
      <c r="A8" s="2"/>
      <c r="B8" s="20" t="s">
        <v>18</v>
      </c>
      <c r="C8" s="10"/>
      <c r="D8" s="10"/>
      <c r="E8" s="10"/>
      <c r="F8" s="10"/>
      <c r="G8" s="10"/>
      <c r="H8" s="10"/>
      <c r="I8" s="10"/>
      <c r="J8" s="10"/>
      <c r="K8" s="11"/>
      <c r="L8" s="23" t="s">
        <v>19</v>
      </c>
      <c r="M8" s="13"/>
      <c r="N8" s="13"/>
      <c r="O8" s="13"/>
      <c r="P8" s="13"/>
      <c r="Q8" s="13"/>
      <c r="R8" s="13"/>
      <c r="S8" s="13"/>
      <c r="T8" s="13"/>
      <c r="U8" s="13"/>
      <c r="V8" s="13"/>
      <c r="W8" s="13"/>
      <c r="X8" s="13"/>
      <c r="Y8" s="13"/>
      <c r="Z8" s="13"/>
      <c r="AA8" s="13"/>
      <c r="AB8" s="13"/>
      <c r="AC8" s="13"/>
      <c r="AD8" s="13"/>
      <c r="AE8" s="13"/>
      <c r="AF8" s="13"/>
      <c r="AG8" s="14"/>
      <c r="AH8" s="2"/>
      <c r="AI8" s="15"/>
      <c r="AJ8" s="20" t="s">
        <v>20</v>
      </c>
      <c r="AK8" s="10"/>
      <c r="AL8" s="10"/>
      <c r="AM8" s="10"/>
      <c r="AN8" s="10"/>
      <c r="AO8" s="10"/>
      <c r="AP8" s="10"/>
      <c r="AQ8" s="10"/>
      <c r="AR8" s="10"/>
      <c r="AS8" s="11"/>
      <c r="AT8" s="24" t="s">
        <v>21</v>
      </c>
      <c r="AU8" s="10"/>
      <c r="AV8" s="10"/>
      <c r="AW8" s="10"/>
      <c r="AX8" s="10"/>
      <c r="AY8" s="10"/>
      <c r="AZ8" s="10"/>
      <c r="BA8" s="10"/>
      <c r="BB8" s="10"/>
      <c r="BC8" s="10"/>
      <c r="BD8" s="10"/>
      <c r="BE8" s="10"/>
      <c r="BF8" s="10"/>
      <c r="BG8" s="10"/>
      <c r="BH8" s="10"/>
      <c r="BI8" s="10"/>
      <c r="BJ8" s="10"/>
      <c r="BK8" s="10"/>
      <c r="BL8" s="10"/>
      <c r="BM8" s="10"/>
      <c r="BN8" s="10"/>
      <c r="BO8" s="11"/>
      <c r="BP8" s="17"/>
      <c r="BT8" s="18">
        <f t="shared" si="0"/>
        <v>1</v>
      </c>
    </row>
    <row r="9" ht="15" customHeight="1">
      <c r="A9" s="2"/>
      <c r="B9" s="20" t="s">
        <v>22</v>
      </c>
      <c r="C9" s="10"/>
      <c r="D9" s="10"/>
      <c r="E9" s="10"/>
      <c r="F9" s="10"/>
      <c r="G9" s="10"/>
      <c r="H9" s="10"/>
      <c r="I9" s="10"/>
      <c r="J9" s="10"/>
      <c r="K9" s="11"/>
      <c r="L9" s="21"/>
      <c r="M9" s="13"/>
      <c r="N9" s="13"/>
      <c r="O9" s="13"/>
      <c r="P9" s="13"/>
      <c r="Q9" s="13"/>
      <c r="R9" s="13"/>
      <c r="S9" s="13"/>
      <c r="T9" s="13"/>
      <c r="U9" s="13"/>
      <c r="V9" s="13"/>
      <c r="W9" s="13"/>
      <c r="X9" s="13"/>
      <c r="Y9" s="13"/>
      <c r="Z9" s="13"/>
      <c r="AA9" s="13"/>
      <c r="AB9" s="13"/>
      <c r="AC9" s="13"/>
      <c r="AD9" s="13"/>
      <c r="AE9" s="13"/>
      <c r="AF9" s="13"/>
      <c r="AG9" s="14"/>
      <c r="AH9" s="2"/>
      <c r="AI9" s="15"/>
      <c r="AJ9" s="20" t="s">
        <v>23</v>
      </c>
      <c r="AK9" s="10"/>
      <c r="AL9" s="10"/>
      <c r="AM9" s="10"/>
      <c r="AN9" s="10"/>
      <c r="AO9" s="10"/>
      <c r="AP9" s="10"/>
      <c r="AQ9" s="10"/>
      <c r="AR9" s="10"/>
      <c r="AS9" s="11"/>
      <c r="AT9" s="24" t="s">
        <v>24</v>
      </c>
      <c r="AU9" s="10"/>
      <c r="AV9" s="10"/>
      <c r="AW9" s="10"/>
      <c r="AX9" s="10"/>
      <c r="AY9" s="10"/>
      <c r="AZ9" s="10"/>
      <c r="BA9" s="10"/>
      <c r="BB9" s="10"/>
      <c r="BC9" s="10"/>
      <c r="BD9" s="10"/>
      <c r="BE9" s="10"/>
      <c r="BF9" s="10"/>
      <c r="BG9" s="10"/>
      <c r="BH9" s="10"/>
      <c r="BI9" s="10"/>
      <c r="BJ9" s="10"/>
      <c r="BK9" s="10"/>
      <c r="BL9" s="10"/>
      <c r="BM9" s="10"/>
      <c r="BN9" s="10"/>
      <c r="BO9" s="11"/>
      <c r="BP9" s="17"/>
      <c r="BT9" s="18">
        <f t="shared" si="0"/>
        <v>0</v>
      </c>
    </row>
    <row r="10" ht="15" customHeight="1">
      <c r="A10" s="2"/>
      <c r="B10" s="20" t="s">
        <v>25</v>
      </c>
      <c r="C10" s="10"/>
      <c r="D10" s="10"/>
      <c r="E10" s="10"/>
      <c r="F10" s="10"/>
      <c r="G10" s="10"/>
      <c r="H10" s="10"/>
      <c r="I10" s="10"/>
      <c r="J10" s="10"/>
      <c r="K10" s="11"/>
      <c r="L10" s="21"/>
      <c r="M10" s="13"/>
      <c r="N10" s="13"/>
      <c r="O10" s="13"/>
      <c r="P10" s="13"/>
      <c r="Q10" s="13"/>
      <c r="R10" s="13"/>
      <c r="S10" s="13"/>
      <c r="T10" s="13"/>
      <c r="U10" s="13"/>
      <c r="V10" s="13"/>
      <c r="W10" s="13"/>
      <c r="X10" s="13"/>
      <c r="Y10" s="13"/>
      <c r="Z10" s="13"/>
      <c r="AA10" s="13"/>
      <c r="AB10" s="13"/>
      <c r="AC10" s="13"/>
      <c r="AD10" s="13"/>
      <c r="AE10" s="13"/>
      <c r="AF10" s="13"/>
      <c r="AG10" s="14"/>
      <c r="AH10" s="2"/>
      <c r="AI10" s="15"/>
      <c r="AJ10" s="20" t="s">
        <v>25</v>
      </c>
      <c r="AK10" s="10"/>
      <c r="AL10" s="10"/>
      <c r="AM10" s="10"/>
      <c r="AN10" s="10"/>
      <c r="AO10" s="10"/>
      <c r="AP10" s="10"/>
      <c r="AQ10" s="10"/>
      <c r="AR10" s="10"/>
      <c r="AS10" s="11"/>
      <c r="AT10" s="25" t="s">
        <v>24</v>
      </c>
      <c r="AU10" s="10"/>
      <c r="AV10" s="10"/>
      <c r="AW10" s="10"/>
      <c r="AX10" s="10"/>
      <c r="AY10" s="10"/>
      <c r="AZ10" s="10"/>
      <c r="BA10" s="10"/>
      <c r="BB10" s="10"/>
      <c r="BC10" s="10"/>
      <c r="BD10" s="10"/>
      <c r="BE10" s="10"/>
      <c r="BF10" s="10"/>
      <c r="BG10" s="10"/>
      <c r="BH10" s="10"/>
      <c r="BI10" s="10"/>
      <c r="BJ10" s="10"/>
      <c r="BK10" s="10"/>
      <c r="BL10" s="10"/>
      <c r="BM10" s="10"/>
      <c r="BN10" s="10"/>
      <c r="BO10" s="11"/>
      <c r="BP10" s="17"/>
      <c r="BT10" s="18">
        <f>IF(L10="",0,1)</f>
        <v>0</v>
      </c>
    </row>
    <row r="11" ht="15" customHeight="1">
      <c r="A11" s="2"/>
      <c r="B11" s="26"/>
      <c r="C11" s="26"/>
      <c r="D11" s="26"/>
      <c r="E11" s="26"/>
      <c r="F11" s="26"/>
      <c r="G11" s="26"/>
      <c r="H11" s="26"/>
      <c r="I11" s="26"/>
      <c r="J11" s="26"/>
      <c r="K11" s="26"/>
      <c r="L11" s="19"/>
      <c r="M11" s="19"/>
      <c r="N11" s="19"/>
      <c r="O11" s="19"/>
      <c r="P11" s="19"/>
      <c r="Q11" s="19"/>
      <c r="R11" s="19"/>
      <c r="S11" s="19"/>
      <c r="T11" s="19"/>
      <c r="U11" s="19"/>
      <c r="V11" s="19"/>
      <c r="W11" s="19"/>
      <c r="X11" s="19"/>
      <c r="Y11" s="19"/>
      <c r="Z11" s="19"/>
      <c r="AA11" s="19"/>
      <c r="AB11" s="19"/>
      <c r="AC11" s="19"/>
      <c r="AD11" s="19"/>
      <c r="AE11" s="19"/>
      <c r="AF11" s="19"/>
      <c r="AG11" s="19"/>
      <c r="AH11" s="2"/>
      <c r="AI11" s="15"/>
      <c r="AJ11" s="26"/>
      <c r="AK11" s="26"/>
      <c r="AL11" s="26"/>
      <c r="AM11" s="26"/>
      <c r="AN11" s="26"/>
      <c r="AO11" s="26"/>
      <c r="AP11" s="26"/>
      <c r="AQ11" s="26"/>
      <c r="AR11" s="26"/>
      <c r="AS11" s="26"/>
      <c r="AT11" s="19"/>
      <c r="AU11" s="19"/>
      <c r="AV11" s="19"/>
      <c r="AW11" s="19"/>
      <c r="AX11" s="19"/>
      <c r="AY11" s="19"/>
      <c r="AZ11" s="19"/>
      <c r="BA11" s="19"/>
      <c r="BB11" s="19"/>
      <c r="BC11" s="19"/>
      <c r="BD11" s="19"/>
      <c r="BE11" s="19"/>
      <c r="BF11" s="19"/>
      <c r="BG11" s="19"/>
      <c r="BH11" s="19"/>
      <c r="BI11" s="19"/>
      <c r="BJ11" s="19"/>
      <c r="BK11" s="19"/>
      <c r="BL11" s="19"/>
      <c r="BM11" s="19"/>
      <c r="BN11" s="19"/>
      <c r="BO11" s="19"/>
      <c r="BP11" s="17"/>
    </row>
    <row r="12" ht="15" customHeight="1">
      <c r="A12" s="2"/>
      <c r="B12" s="19" t="s">
        <v>26</v>
      </c>
      <c r="L12" s="19"/>
      <c r="M12" s="19"/>
      <c r="N12" s="19"/>
      <c r="O12" s="19"/>
      <c r="P12" s="19"/>
      <c r="Q12" s="19"/>
      <c r="R12" s="19"/>
      <c r="S12" s="19"/>
      <c r="T12" s="19"/>
      <c r="U12" s="19"/>
      <c r="V12" s="19"/>
      <c r="W12" s="19"/>
      <c r="X12" s="19"/>
      <c r="Y12" s="19"/>
      <c r="Z12" s="19"/>
      <c r="AA12" s="19"/>
      <c r="AB12" s="19"/>
      <c r="AC12" s="19"/>
      <c r="AD12" s="19"/>
      <c r="AE12" s="19"/>
      <c r="AF12" s="19"/>
      <c r="AG12" s="19"/>
      <c r="AH12" s="2"/>
      <c r="AI12" s="15"/>
      <c r="AJ12" s="19" t="s">
        <v>26</v>
      </c>
      <c r="AT12" s="19"/>
      <c r="AU12" s="19"/>
      <c r="AV12" s="19"/>
      <c r="AW12" s="19"/>
      <c r="AX12" s="19"/>
      <c r="AY12" s="19"/>
      <c r="AZ12" s="19"/>
      <c r="BA12" s="19"/>
      <c r="BB12" s="19"/>
      <c r="BC12" s="19"/>
      <c r="BD12" s="19"/>
      <c r="BE12" s="19"/>
      <c r="BF12" s="19"/>
      <c r="BG12" s="19"/>
      <c r="BH12" s="19"/>
      <c r="BI12" s="19"/>
      <c r="BJ12" s="19"/>
      <c r="BK12" s="19"/>
      <c r="BL12" s="19"/>
      <c r="BM12" s="19"/>
      <c r="BN12" s="19"/>
      <c r="BO12" s="19"/>
      <c r="BP12" s="17"/>
    </row>
    <row r="13" ht="15" customHeight="1">
      <c r="A13" s="2"/>
      <c r="B13" s="9" t="s">
        <v>27</v>
      </c>
      <c r="C13" s="27"/>
      <c r="D13" s="27"/>
      <c r="E13" s="27"/>
      <c r="F13" s="27"/>
      <c r="G13" s="27"/>
      <c r="H13" s="27"/>
      <c r="I13" s="27"/>
      <c r="J13" s="27"/>
      <c r="K13" s="28"/>
      <c r="L13" s="29" t="s">
        <v>28</v>
      </c>
      <c r="M13" s="10"/>
      <c r="N13" s="10"/>
      <c r="O13" s="10"/>
      <c r="P13" s="11"/>
      <c r="Q13" s="29" t="s">
        <v>29</v>
      </c>
      <c r="R13" s="10"/>
      <c r="S13" s="10"/>
      <c r="T13" s="10"/>
      <c r="U13" s="10"/>
      <c r="V13" s="10"/>
      <c r="W13" s="11"/>
      <c r="X13" s="29" t="s">
        <v>30</v>
      </c>
      <c r="Y13" s="10"/>
      <c r="Z13" s="10"/>
      <c r="AA13" s="10"/>
      <c r="AB13" s="10"/>
      <c r="AC13" s="10"/>
      <c r="AD13" s="10"/>
      <c r="AE13" s="10"/>
      <c r="AF13" s="10"/>
      <c r="AG13" s="11"/>
      <c r="AH13" s="2"/>
      <c r="AI13" s="15"/>
      <c r="AJ13" s="9" t="s">
        <v>27</v>
      </c>
      <c r="AK13" s="27"/>
      <c r="AL13" s="27"/>
      <c r="AM13" s="27"/>
      <c r="AN13" s="27"/>
      <c r="AO13" s="27"/>
      <c r="AP13" s="27"/>
      <c r="AQ13" s="27"/>
      <c r="AR13" s="27"/>
      <c r="AS13" s="28"/>
      <c r="AT13" s="29" t="s">
        <v>28</v>
      </c>
      <c r="AU13" s="10"/>
      <c r="AV13" s="10"/>
      <c r="AW13" s="10"/>
      <c r="AX13" s="11"/>
      <c r="AY13" s="29" t="s">
        <v>29</v>
      </c>
      <c r="AZ13" s="10"/>
      <c r="BA13" s="10"/>
      <c r="BB13" s="10"/>
      <c r="BC13" s="10"/>
      <c r="BD13" s="10"/>
      <c r="BE13" s="11"/>
      <c r="BF13" s="29" t="s">
        <v>30</v>
      </c>
      <c r="BG13" s="10"/>
      <c r="BH13" s="10"/>
      <c r="BI13" s="10"/>
      <c r="BJ13" s="10"/>
      <c r="BK13" s="10"/>
      <c r="BL13" s="10"/>
      <c r="BM13" s="10"/>
      <c r="BN13" s="10"/>
      <c r="BO13" s="11"/>
      <c r="BP13" s="17"/>
    </row>
    <row r="14" ht="15" customHeight="1">
      <c r="A14" s="2"/>
      <c r="B14" s="30"/>
      <c r="C14" s="31"/>
      <c r="D14" s="31"/>
      <c r="E14" s="31"/>
      <c r="F14" s="31"/>
      <c r="G14" s="31"/>
      <c r="H14" s="31"/>
      <c r="I14" s="31"/>
      <c r="J14" s="31"/>
      <c r="K14" s="32"/>
      <c r="L14" s="33" t="s">
        <v>31</v>
      </c>
      <c r="M14" s="13"/>
      <c r="N14" s="13"/>
      <c r="O14" s="13"/>
      <c r="P14" s="14"/>
      <c r="Q14" s="33" t="s">
        <v>32</v>
      </c>
      <c r="R14" s="13"/>
      <c r="S14" s="13"/>
      <c r="T14" s="13"/>
      <c r="U14" s="13"/>
      <c r="V14" s="13"/>
      <c r="W14" s="14"/>
      <c r="X14" s="34" t="s">
        <v>33</v>
      </c>
      <c r="Y14" s="13"/>
      <c r="Z14" s="13"/>
      <c r="AA14" s="13"/>
      <c r="AB14" s="13"/>
      <c r="AC14" s="13"/>
      <c r="AD14" s="13"/>
      <c r="AE14" s="13"/>
      <c r="AF14" s="13"/>
      <c r="AG14" s="14"/>
      <c r="AH14" s="2"/>
      <c r="AI14" s="15"/>
      <c r="AJ14" s="30"/>
      <c r="AK14" s="31"/>
      <c r="AL14" s="31"/>
      <c r="AM14" s="31"/>
      <c r="AN14" s="31"/>
      <c r="AO14" s="31"/>
      <c r="AP14" s="31"/>
      <c r="AQ14" s="31"/>
      <c r="AR14" s="31"/>
      <c r="AS14" s="32"/>
      <c r="AT14" s="35" t="s">
        <v>34</v>
      </c>
      <c r="AU14" s="10"/>
      <c r="AV14" s="10"/>
      <c r="AW14" s="10"/>
      <c r="AX14" s="11"/>
      <c r="AY14" s="35" t="s">
        <v>35</v>
      </c>
      <c r="AZ14" s="10"/>
      <c r="BA14" s="10"/>
      <c r="BB14" s="10"/>
      <c r="BC14" s="10"/>
      <c r="BD14" s="10"/>
      <c r="BE14" s="11"/>
      <c r="BF14" s="36" t="s">
        <v>36</v>
      </c>
      <c r="BG14" s="10"/>
      <c r="BH14" s="10"/>
      <c r="BI14" s="10"/>
      <c r="BJ14" s="10"/>
      <c r="BK14" s="10"/>
      <c r="BL14" s="10"/>
      <c r="BM14" s="10"/>
      <c r="BN14" s="10"/>
      <c r="BO14" s="11"/>
      <c r="BP14" s="17"/>
      <c r="BT14" s="18">
        <f>IF(L14="",0,1)</f>
        <v>1</v>
      </c>
      <c r="BU14" s="18">
        <f>IF(Q14="",0,1)</f>
        <v>1</v>
      </c>
      <c r="BV14" s="18">
        <f>IF(X14="",0,1)</f>
        <v>1</v>
      </c>
    </row>
    <row r="15" ht="15" customHeight="1">
      <c r="A15" s="2"/>
      <c r="B15" s="37" t="s">
        <v>37</v>
      </c>
      <c r="C15" s="27"/>
      <c r="D15" s="27"/>
      <c r="E15" s="27"/>
      <c r="F15" s="27"/>
      <c r="G15" s="27"/>
      <c r="H15" s="27"/>
      <c r="I15" s="27"/>
      <c r="J15" s="27"/>
      <c r="K15" s="28"/>
      <c r="L15" s="38" t="s">
        <v>38</v>
      </c>
      <c r="M15" s="10"/>
      <c r="N15" s="10"/>
      <c r="O15" s="10"/>
      <c r="P15" s="10"/>
      <c r="Q15" s="11"/>
      <c r="R15" s="39" t="s">
        <v>39</v>
      </c>
      <c r="S15" s="10"/>
      <c r="T15" s="10"/>
      <c r="U15" s="10"/>
      <c r="V15" s="10"/>
      <c r="W15" s="11"/>
      <c r="X15" s="40" t="s">
        <v>40</v>
      </c>
      <c r="Y15" s="41"/>
      <c r="Z15" s="41"/>
      <c r="AA15" s="41"/>
      <c r="AB15" s="41"/>
      <c r="AC15" s="41"/>
      <c r="AD15" s="41"/>
      <c r="AE15" s="41"/>
      <c r="AF15" s="41"/>
      <c r="AG15" s="42"/>
      <c r="AH15" s="2"/>
      <c r="AI15" s="15"/>
      <c r="AJ15" s="37" t="s">
        <v>37</v>
      </c>
      <c r="AK15" s="27"/>
      <c r="AL15" s="27"/>
      <c r="AM15" s="27"/>
      <c r="AN15" s="27"/>
      <c r="AO15" s="27"/>
      <c r="AP15" s="27"/>
      <c r="AQ15" s="27"/>
      <c r="AR15" s="27"/>
      <c r="AS15" s="28"/>
      <c r="AT15" s="38" t="s">
        <v>38</v>
      </c>
      <c r="AU15" s="10"/>
      <c r="AV15" s="10"/>
      <c r="AW15" s="10"/>
      <c r="AX15" s="10"/>
      <c r="AY15" s="11"/>
      <c r="AZ15" s="39" t="s">
        <v>39</v>
      </c>
      <c r="BA15" s="10"/>
      <c r="BB15" s="10"/>
      <c r="BC15" s="10"/>
      <c r="BD15" s="10"/>
      <c r="BE15" s="11"/>
      <c r="BF15" s="43" t="s">
        <v>40</v>
      </c>
      <c r="BG15" s="27"/>
      <c r="BH15" s="27"/>
      <c r="BI15" s="27"/>
      <c r="BJ15" s="27"/>
      <c r="BK15" s="27"/>
      <c r="BL15" s="27"/>
      <c r="BM15" s="27"/>
      <c r="BN15" s="27"/>
      <c r="BO15" s="28"/>
      <c r="BP15" s="17"/>
    </row>
    <row r="16" ht="15.5" customHeight="1">
      <c r="A16" s="2"/>
      <c r="B16" s="30"/>
      <c r="C16" s="31"/>
      <c r="D16" s="31"/>
      <c r="E16" s="31"/>
      <c r="F16" s="31"/>
      <c r="G16" s="31"/>
      <c r="H16" s="31"/>
      <c r="I16" s="31"/>
      <c r="J16" s="31"/>
      <c r="K16" s="32"/>
      <c r="L16" s="44">
        <v>34.488999999999997</v>
      </c>
      <c r="M16" s="41"/>
      <c r="N16" s="41"/>
      <c r="O16" s="41"/>
      <c r="P16" s="41"/>
      <c r="Q16" s="42"/>
      <c r="R16" s="45">
        <v>136.20599999999999</v>
      </c>
      <c r="S16" s="13"/>
      <c r="T16" s="13"/>
      <c r="U16" s="13"/>
      <c r="V16" s="13"/>
      <c r="W16" s="14"/>
      <c r="X16" s="46"/>
      <c r="Y16" s="47"/>
      <c r="Z16" s="47"/>
      <c r="AA16" s="47"/>
      <c r="AB16" s="47"/>
      <c r="AC16" s="47"/>
      <c r="AD16" s="47"/>
      <c r="AE16" s="47"/>
      <c r="AF16" s="47"/>
      <c r="AG16" s="48"/>
      <c r="AH16" s="2"/>
      <c r="AI16" s="15"/>
      <c r="AJ16" s="30"/>
      <c r="AK16" s="31"/>
      <c r="AL16" s="31"/>
      <c r="AM16" s="31"/>
      <c r="AN16" s="31"/>
      <c r="AO16" s="31"/>
      <c r="AP16" s="31"/>
      <c r="AQ16" s="31"/>
      <c r="AR16" s="31"/>
      <c r="AS16" s="32"/>
      <c r="AT16" s="49" t="s">
        <v>41</v>
      </c>
      <c r="AU16" s="27"/>
      <c r="AV16" s="27"/>
      <c r="AW16" s="27"/>
      <c r="AX16" s="27"/>
      <c r="AY16" s="28"/>
      <c r="AZ16" s="49" t="s">
        <v>42</v>
      </c>
      <c r="BA16" s="27"/>
      <c r="BB16" s="27"/>
      <c r="BC16" s="27"/>
      <c r="BD16" s="27"/>
      <c r="BE16" s="28"/>
      <c r="BF16" s="30"/>
      <c r="BG16" s="31"/>
      <c r="BH16" s="31"/>
      <c r="BI16" s="31"/>
      <c r="BJ16" s="31"/>
      <c r="BK16" s="31"/>
      <c r="BL16" s="31"/>
      <c r="BM16" s="31"/>
      <c r="BN16" s="31"/>
      <c r="BO16" s="32"/>
      <c r="BP16" s="17"/>
      <c r="BT16" s="18">
        <f>IF(L16="",0,1)</f>
        <v>1</v>
      </c>
    </row>
    <row r="17" ht="15.5" customHeight="1">
      <c r="A17" s="2"/>
      <c r="B17" s="50" t="s">
        <v>43</v>
      </c>
      <c r="C17" s="10"/>
      <c r="D17" s="10"/>
      <c r="E17" s="10"/>
      <c r="F17" s="10"/>
      <c r="G17" s="10"/>
      <c r="H17" s="10"/>
      <c r="I17" s="10"/>
      <c r="J17" s="10"/>
      <c r="K17" s="10"/>
      <c r="L17" s="51" t="str">
        <f>IF(L16="","要","否")</f>
        <v>否</v>
      </c>
      <c r="M17" s="52"/>
      <c r="N17" s="52"/>
      <c r="O17" s="53"/>
      <c r="P17" s="54" t="s">
        <v>44</v>
      </c>
      <c r="Q17" s="13"/>
      <c r="R17" s="13"/>
      <c r="S17" s="13"/>
      <c r="T17" s="13"/>
      <c r="U17" s="13"/>
      <c r="V17" s="13"/>
      <c r="W17" s="13"/>
      <c r="X17" s="13"/>
      <c r="Y17" s="13"/>
      <c r="Z17" s="13"/>
      <c r="AA17" s="13"/>
      <c r="AB17" s="13"/>
      <c r="AC17" s="13"/>
      <c r="AD17" s="13"/>
      <c r="AE17" s="13"/>
      <c r="AF17" s="13"/>
      <c r="AG17" s="14"/>
      <c r="AH17" s="2"/>
      <c r="AI17" s="15"/>
      <c r="AJ17" s="50" t="s">
        <v>43</v>
      </c>
      <c r="AK17" s="10"/>
      <c r="AL17" s="10"/>
      <c r="AM17" s="10"/>
      <c r="AN17" s="10"/>
      <c r="AO17" s="10"/>
      <c r="AP17" s="10"/>
      <c r="AQ17" s="10"/>
      <c r="AR17" s="10"/>
      <c r="AS17" s="10"/>
      <c r="AT17" s="55" t="str">
        <f>IF(AT16="","要","否")</f>
        <v>否</v>
      </c>
      <c r="AU17" s="52"/>
      <c r="AV17" s="52"/>
      <c r="AW17" s="53"/>
      <c r="AX17" s="56" t="s">
        <v>44</v>
      </c>
      <c r="AY17" s="10"/>
      <c r="AZ17" s="10"/>
      <c r="BA17" s="10"/>
      <c r="BB17" s="10"/>
      <c r="BC17" s="10"/>
      <c r="BD17" s="10"/>
      <c r="BE17" s="10"/>
      <c r="BF17" s="10"/>
      <c r="BG17" s="10"/>
      <c r="BH17" s="10"/>
      <c r="BI17" s="10"/>
      <c r="BJ17" s="10"/>
      <c r="BK17" s="10"/>
      <c r="BL17" s="10"/>
      <c r="BM17" s="10"/>
      <c r="BN17" s="10"/>
      <c r="BO17" s="11"/>
      <c r="BP17" s="17"/>
    </row>
    <row r="18" ht="15" customHeight="1">
      <c r="A18" s="2"/>
      <c r="B18" s="9" t="s">
        <v>45</v>
      </c>
      <c r="C18" s="10"/>
      <c r="D18" s="10"/>
      <c r="E18" s="10"/>
      <c r="F18" s="10"/>
      <c r="G18" s="10"/>
      <c r="H18" s="10"/>
      <c r="I18" s="10"/>
      <c r="J18" s="10"/>
      <c r="K18" s="11"/>
      <c r="L18" s="57" t="s">
        <v>46</v>
      </c>
      <c r="M18" s="58"/>
      <c r="N18" s="58"/>
      <c r="O18" s="58"/>
      <c r="P18" s="58"/>
      <c r="Q18" s="58"/>
      <c r="R18" s="58"/>
      <c r="S18" s="58"/>
      <c r="T18" s="58"/>
      <c r="U18" s="58"/>
      <c r="V18" s="58"/>
      <c r="W18" s="58"/>
      <c r="X18" s="58"/>
      <c r="Y18" s="58"/>
      <c r="Z18" s="58"/>
      <c r="AA18" s="58"/>
      <c r="AB18" s="58"/>
      <c r="AC18" s="58"/>
      <c r="AD18" s="58"/>
      <c r="AE18" s="58"/>
      <c r="AF18" s="58"/>
      <c r="AG18" s="59"/>
      <c r="AH18" s="2"/>
      <c r="AI18" s="15"/>
      <c r="AJ18" s="9" t="s">
        <v>47</v>
      </c>
      <c r="AK18" s="10"/>
      <c r="AL18" s="10"/>
      <c r="AM18" s="10"/>
      <c r="AN18" s="10"/>
      <c r="AO18" s="10"/>
      <c r="AP18" s="10"/>
      <c r="AQ18" s="10"/>
      <c r="AR18" s="10"/>
      <c r="AS18" s="11"/>
      <c r="AT18" s="60" t="s">
        <v>48</v>
      </c>
      <c r="BO18" s="61"/>
      <c r="BP18" s="17"/>
      <c r="BT18" s="18">
        <f t="shared" ref="BT18:BT28" si="1">IF(L18="",0,1)</f>
        <v>1</v>
      </c>
    </row>
    <row r="19" ht="16.5" customHeight="1">
      <c r="A19" s="2"/>
      <c r="B19" s="62" t="s">
        <v>49</v>
      </c>
      <c r="C19" s="10"/>
      <c r="D19" s="10"/>
      <c r="E19" s="10"/>
      <c r="F19" s="10"/>
      <c r="G19" s="10"/>
      <c r="H19" s="10"/>
      <c r="I19" s="10"/>
      <c r="J19" s="10"/>
      <c r="K19" s="11"/>
      <c r="L19" s="63">
        <v>1150</v>
      </c>
      <c r="M19" s="13"/>
      <c r="N19" s="13"/>
      <c r="O19" s="13"/>
      <c r="P19" s="13"/>
      <c r="Q19" s="13"/>
      <c r="R19" s="13"/>
      <c r="S19" s="13"/>
      <c r="T19" s="13"/>
      <c r="U19" s="13"/>
      <c r="V19" s="13"/>
      <c r="W19" s="13"/>
      <c r="X19" s="13"/>
      <c r="Y19" s="13"/>
      <c r="Z19" s="13"/>
      <c r="AA19" s="13"/>
      <c r="AB19" s="13"/>
      <c r="AC19" s="13"/>
      <c r="AD19" s="14"/>
      <c r="AE19" s="64" t="s">
        <v>50</v>
      </c>
      <c r="AF19" s="10"/>
      <c r="AG19" s="11"/>
      <c r="AH19" s="2"/>
      <c r="AI19" s="15"/>
      <c r="AJ19" s="62" t="s">
        <v>51</v>
      </c>
      <c r="AK19" s="10"/>
      <c r="AL19" s="10"/>
      <c r="AM19" s="10"/>
      <c r="AN19" s="10"/>
      <c r="AO19" s="10"/>
      <c r="AP19" s="10"/>
      <c r="AQ19" s="10"/>
      <c r="AR19" s="10"/>
      <c r="AS19" s="11"/>
      <c r="AT19" s="65">
        <v>10100</v>
      </c>
      <c r="AU19" s="10"/>
      <c r="AV19" s="10"/>
      <c r="AW19" s="10"/>
      <c r="AX19" s="10"/>
      <c r="AY19" s="10"/>
      <c r="AZ19" s="10"/>
      <c r="BA19" s="10"/>
      <c r="BB19" s="10"/>
      <c r="BC19" s="10"/>
      <c r="BD19" s="10"/>
      <c r="BE19" s="10"/>
      <c r="BF19" s="10"/>
      <c r="BG19" s="10"/>
      <c r="BH19" s="10"/>
      <c r="BI19" s="10"/>
      <c r="BJ19" s="10"/>
      <c r="BK19" s="10"/>
      <c r="BL19" s="11"/>
      <c r="BM19" s="64" t="s">
        <v>50</v>
      </c>
      <c r="BN19" s="10"/>
      <c r="BO19" s="11"/>
      <c r="BP19" s="17"/>
      <c r="BT19" s="18">
        <f t="shared" si="1"/>
        <v>1</v>
      </c>
    </row>
    <row r="20" ht="16.5" customHeight="1">
      <c r="A20" s="2"/>
      <c r="B20" s="62" t="s">
        <v>52</v>
      </c>
      <c r="C20" s="10"/>
      <c r="D20" s="10"/>
      <c r="E20" s="10"/>
      <c r="F20" s="10"/>
      <c r="G20" s="10"/>
      <c r="H20" s="10"/>
      <c r="I20" s="10"/>
      <c r="J20" s="10"/>
      <c r="K20" s="11"/>
      <c r="L20" s="66"/>
      <c r="M20" s="13"/>
      <c r="N20" s="13"/>
      <c r="O20" s="13"/>
      <c r="P20" s="13"/>
      <c r="Q20" s="13"/>
      <c r="R20" s="13"/>
      <c r="S20" s="13"/>
      <c r="T20" s="13"/>
      <c r="U20" s="13"/>
      <c r="V20" s="13"/>
      <c r="W20" s="13"/>
      <c r="X20" s="13"/>
      <c r="Y20" s="13"/>
      <c r="Z20" s="13"/>
      <c r="AA20" s="13"/>
      <c r="AB20" s="13"/>
      <c r="AC20" s="13"/>
      <c r="AD20" s="14"/>
      <c r="AE20" s="64" t="s">
        <v>50</v>
      </c>
      <c r="AF20" s="10"/>
      <c r="AG20" s="11"/>
      <c r="AH20" s="2"/>
      <c r="AI20" s="15"/>
      <c r="AJ20" s="62" t="s">
        <v>52</v>
      </c>
      <c r="AK20" s="10"/>
      <c r="AL20" s="10"/>
      <c r="AM20" s="10"/>
      <c r="AN20" s="10"/>
      <c r="AO20" s="10"/>
      <c r="AP20" s="10"/>
      <c r="AQ20" s="10"/>
      <c r="AR20" s="10"/>
      <c r="AS20" s="11"/>
      <c r="AT20" s="67">
        <v>100</v>
      </c>
      <c r="AU20" s="10"/>
      <c r="AV20" s="10"/>
      <c r="AW20" s="10"/>
      <c r="AX20" s="10"/>
      <c r="AY20" s="10"/>
      <c r="AZ20" s="10"/>
      <c r="BA20" s="10"/>
      <c r="BB20" s="10"/>
      <c r="BC20" s="10"/>
      <c r="BD20" s="10"/>
      <c r="BE20" s="10"/>
      <c r="BF20" s="10"/>
      <c r="BG20" s="10"/>
      <c r="BH20" s="10"/>
      <c r="BI20" s="10"/>
      <c r="BJ20" s="10"/>
      <c r="BK20" s="10"/>
      <c r="BL20" s="11"/>
      <c r="BM20" s="64" t="s">
        <v>50</v>
      </c>
      <c r="BN20" s="10"/>
      <c r="BO20" s="11"/>
      <c r="BP20" s="17"/>
    </row>
    <row r="21" ht="15" customHeight="1">
      <c r="A21" s="2"/>
      <c r="B21" s="9" t="s">
        <v>53</v>
      </c>
      <c r="C21" s="10"/>
      <c r="D21" s="10"/>
      <c r="E21" s="10"/>
      <c r="F21" s="10"/>
      <c r="G21" s="10"/>
      <c r="H21" s="10"/>
      <c r="I21" s="10"/>
      <c r="J21" s="10"/>
      <c r="K21" s="11"/>
      <c r="L21" s="68">
        <f>IF((L19-L20)=0,"(自動計算)",(L19-L20))</f>
        <v>1150</v>
      </c>
      <c r="M21" s="10"/>
      <c r="N21" s="10"/>
      <c r="O21" s="10"/>
      <c r="P21" s="10"/>
      <c r="Q21" s="10"/>
      <c r="R21" s="10"/>
      <c r="S21" s="10"/>
      <c r="T21" s="10"/>
      <c r="U21" s="10"/>
      <c r="V21" s="10"/>
      <c r="W21" s="10"/>
      <c r="X21" s="10"/>
      <c r="Y21" s="10"/>
      <c r="Z21" s="10"/>
      <c r="AA21" s="10"/>
      <c r="AB21" s="10"/>
      <c r="AC21" s="10"/>
      <c r="AD21" s="11"/>
      <c r="AE21" s="64" t="s">
        <v>50</v>
      </c>
      <c r="AF21" s="10"/>
      <c r="AG21" s="11"/>
      <c r="AH21" s="2"/>
      <c r="AI21" s="15"/>
      <c r="AJ21" s="9" t="s">
        <v>54</v>
      </c>
      <c r="AK21" s="10"/>
      <c r="AL21" s="10"/>
      <c r="AM21" s="10"/>
      <c r="AN21" s="10"/>
      <c r="AO21" s="10"/>
      <c r="AP21" s="10"/>
      <c r="AQ21" s="10"/>
      <c r="AR21" s="10"/>
      <c r="AS21" s="11"/>
      <c r="AT21" s="68">
        <f>IF((AT19-AT20)=0,"(自動計算)",(AT19-AT20))</f>
        <v>10000</v>
      </c>
      <c r="AU21" s="10"/>
      <c r="AV21" s="10"/>
      <c r="AW21" s="10"/>
      <c r="AX21" s="10"/>
      <c r="AY21" s="10"/>
      <c r="AZ21" s="10"/>
      <c r="BA21" s="10"/>
      <c r="BB21" s="10"/>
      <c r="BC21" s="10"/>
      <c r="BD21" s="10"/>
      <c r="BE21" s="10"/>
      <c r="BF21" s="10"/>
      <c r="BG21" s="10"/>
      <c r="BH21" s="10"/>
      <c r="BI21" s="10"/>
      <c r="BJ21" s="10"/>
      <c r="BK21" s="10"/>
      <c r="BL21" s="11"/>
      <c r="BM21" s="64" t="s">
        <v>50</v>
      </c>
      <c r="BN21" s="10"/>
      <c r="BO21" s="11"/>
      <c r="BP21" s="17"/>
    </row>
    <row r="22" ht="15" customHeight="1">
      <c r="A22" s="2"/>
      <c r="B22" s="2"/>
      <c r="C22" s="2"/>
      <c r="D22" s="2"/>
      <c r="E22" s="2"/>
      <c r="F22" s="2"/>
      <c r="G22" s="2"/>
      <c r="H22" s="2"/>
      <c r="I22" s="2"/>
      <c r="J22" s="2"/>
      <c r="K22" s="2"/>
      <c r="L22" s="19"/>
      <c r="M22" s="19"/>
      <c r="N22" s="19"/>
      <c r="O22" s="19"/>
      <c r="P22" s="19"/>
      <c r="Q22" s="19"/>
      <c r="R22" s="19"/>
      <c r="S22" s="19"/>
      <c r="T22" s="19"/>
      <c r="U22" s="19"/>
      <c r="V22" s="19"/>
      <c r="W22" s="19"/>
      <c r="X22" s="19"/>
      <c r="Y22" s="19"/>
      <c r="Z22" s="19"/>
      <c r="AA22" s="19"/>
      <c r="AB22" s="19"/>
      <c r="AC22" s="19"/>
      <c r="AD22" s="19"/>
      <c r="AE22" s="19"/>
      <c r="AF22" s="19"/>
      <c r="AG22" s="19"/>
      <c r="AH22" s="2"/>
      <c r="AI22" s="15"/>
      <c r="AJ22" s="2"/>
      <c r="AK22" s="2"/>
      <c r="AL22" s="2"/>
      <c r="AM22" s="2"/>
      <c r="AN22" s="2"/>
      <c r="AO22" s="2"/>
      <c r="AP22" s="2"/>
      <c r="AQ22" s="2"/>
      <c r="AR22" s="2"/>
      <c r="AS22" s="2"/>
      <c r="AT22" s="19"/>
      <c r="AU22" s="19"/>
      <c r="AV22" s="19"/>
      <c r="AW22" s="19"/>
      <c r="AX22" s="19"/>
      <c r="AY22" s="19"/>
      <c r="AZ22" s="19"/>
      <c r="BA22" s="19"/>
      <c r="BB22" s="19"/>
      <c r="BC22" s="19"/>
      <c r="BD22" s="19"/>
      <c r="BE22" s="19"/>
      <c r="BF22" s="19"/>
      <c r="BG22" s="19"/>
      <c r="BH22" s="19"/>
      <c r="BI22" s="19"/>
      <c r="BJ22" s="19"/>
      <c r="BK22" s="19"/>
      <c r="BL22" s="19"/>
      <c r="BM22" s="19"/>
      <c r="BN22" s="19"/>
      <c r="BO22" s="19"/>
      <c r="BP22" s="17"/>
    </row>
    <row r="23" ht="15" customHeight="1">
      <c r="A23" s="2"/>
      <c r="B23" s="19" t="s">
        <v>55</v>
      </c>
      <c r="L23" s="19"/>
      <c r="M23" s="19"/>
      <c r="N23" s="19"/>
      <c r="O23" s="19"/>
      <c r="P23" s="19"/>
      <c r="Q23" s="19"/>
      <c r="R23" s="19"/>
      <c r="S23" s="19"/>
      <c r="T23" s="19"/>
      <c r="U23" s="19"/>
      <c r="V23" s="19"/>
      <c r="W23" s="19"/>
      <c r="X23" s="19"/>
      <c r="Y23" s="19"/>
      <c r="Z23" s="19"/>
      <c r="AA23" s="19"/>
      <c r="AB23" s="19"/>
      <c r="AC23" s="19"/>
      <c r="AD23" s="19"/>
      <c r="AE23" s="19"/>
      <c r="AF23" s="19"/>
      <c r="AG23" s="19"/>
      <c r="AH23" s="2"/>
      <c r="AI23" s="15"/>
      <c r="AJ23" s="19" t="s">
        <v>55</v>
      </c>
      <c r="AT23" s="19"/>
      <c r="AU23" s="19"/>
      <c r="AV23" s="19"/>
      <c r="AW23" s="19"/>
      <c r="AX23" s="19"/>
      <c r="AY23" s="19"/>
      <c r="AZ23" s="19"/>
      <c r="BA23" s="19"/>
      <c r="BB23" s="19"/>
      <c r="BC23" s="19"/>
      <c r="BD23" s="19"/>
      <c r="BE23" s="19"/>
      <c r="BF23" s="19"/>
      <c r="BG23" s="19"/>
      <c r="BH23" s="19"/>
      <c r="BI23" s="19"/>
      <c r="BJ23" s="19"/>
      <c r="BK23" s="19"/>
      <c r="BL23" s="19"/>
      <c r="BM23" s="19"/>
      <c r="BN23" s="19"/>
      <c r="BO23" s="19"/>
      <c r="BP23" s="17"/>
    </row>
    <row r="24" ht="15.75" customHeight="1">
      <c r="A24" s="2"/>
      <c r="B24" s="62" t="s">
        <v>56</v>
      </c>
      <c r="C24" s="27"/>
      <c r="D24" s="27"/>
      <c r="E24" s="27"/>
      <c r="F24" s="27"/>
      <c r="G24" s="27"/>
      <c r="H24" s="27"/>
      <c r="I24" s="27"/>
      <c r="J24" s="27"/>
      <c r="K24" s="28"/>
      <c r="L24" s="69" t="s">
        <v>57</v>
      </c>
      <c r="M24" s="41"/>
      <c r="N24" s="41"/>
      <c r="O24" s="41"/>
      <c r="P24" s="41"/>
      <c r="Q24" s="41"/>
      <c r="R24" s="41"/>
      <c r="S24" s="41"/>
      <c r="T24" s="41"/>
      <c r="U24" s="41"/>
      <c r="V24" s="41"/>
      <c r="W24" s="41"/>
      <c r="X24" s="41"/>
      <c r="Y24" s="41"/>
      <c r="Z24" s="41"/>
      <c r="AA24" s="41"/>
      <c r="AB24" s="41"/>
      <c r="AC24" s="41"/>
      <c r="AD24" s="41"/>
      <c r="AE24" s="41"/>
      <c r="AF24" s="41"/>
      <c r="AG24" s="42"/>
      <c r="AH24" s="2"/>
      <c r="AI24" s="15"/>
      <c r="AJ24" s="62" t="s">
        <v>58</v>
      </c>
      <c r="AK24" s="27"/>
      <c r="AL24" s="27"/>
      <c r="AM24" s="27"/>
      <c r="AN24" s="27"/>
      <c r="AO24" s="27"/>
      <c r="AP24" s="27"/>
      <c r="AQ24" s="27"/>
      <c r="AR24" s="27"/>
      <c r="AS24" s="28"/>
      <c r="AT24" s="70" t="s">
        <v>57</v>
      </c>
      <c r="AU24" s="27"/>
      <c r="AV24" s="27"/>
      <c r="AW24" s="27"/>
      <c r="AX24" s="27"/>
      <c r="AY24" s="27"/>
      <c r="AZ24" s="27"/>
      <c r="BA24" s="27"/>
      <c r="BB24" s="27"/>
      <c r="BC24" s="27"/>
      <c r="BD24" s="27"/>
      <c r="BE24" s="27"/>
      <c r="BF24" s="27"/>
      <c r="BG24" s="27"/>
      <c r="BH24" s="27"/>
      <c r="BI24" s="27"/>
      <c r="BJ24" s="27"/>
      <c r="BK24" s="27"/>
      <c r="BL24" s="27"/>
      <c r="BM24" s="27"/>
      <c r="BN24" s="27"/>
      <c r="BO24" s="28"/>
      <c r="BP24" s="17"/>
      <c r="BT24" s="18">
        <f t="shared" si="1"/>
        <v>1</v>
      </c>
    </row>
    <row r="25" ht="15" customHeight="1">
      <c r="A25" s="2"/>
      <c r="B25" s="30"/>
      <c r="C25" s="31"/>
      <c r="D25" s="31"/>
      <c r="E25" s="31"/>
      <c r="F25" s="31"/>
      <c r="G25" s="31"/>
      <c r="H25" s="31"/>
      <c r="I25" s="31"/>
      <c r="J25" s="31"/>
      <c r="K25" s="32"/>
      <c r="L25" s="46"/>
      <c r="M25" s="47"/>
      <c r="N25" s="47"/>
      <c r="O25" s="47"/>
      <c r="P25" s="47"/>
      <c r="Q25" s="47"/>
      <c r="R25" s="47"/>
      <c r="S25" s="47"/>
      <c r="T25" s="47"/>
      <c r="U25" s="47"/>
      <c r="V25" s="47"/>
      <c r="W25" s="47"/>
      <c r="X25" s="47"/>
      <c r="Y25" s="47"/>
      <c r="Z25" s="47"/>
      <c r="AA25" s="47"/>
      <c r="AB25" s="47"/>
      <c r="AC25" s="47"/>
      <c r="AD25" s="47"/>
      <c r="AE25" s="47"/>
      <c r="AF25" s="47"/>
      <c r="AG25" s="48"/>
      <c r="AH25" s="2"/>
      <c r="AI25" s="15"/>
      <c r="AJ25" s="30"/>
      <c r="AK25" s="31"/>
      <c r="AL25" s="31"/>
      <c r="AM25" s="31"/>
      <c r="AN25" s="31"/>
      <c r="AO25" s="31"/>
      <c r="AP25" s="31"/>
      <c r="AQ25" s="31"/>
      <c r="AR25" s="31"/>
      <c r="AS25" s="32"/>
      <c r="AT25" s="30"/>
      <c r="AU25" s="31"/>
      <c r="AV25" s="31"/>
      <c r="AW25" s="31"/>
      <c r="AX25" s="31"/>
      <c r="AY25" s="31"/>
      <c r="AZ25" s="31"/>
      <c r="BA25" s="31"/>
      <c r="BB25" s="31"/>
      <c r="BC25" s="31"/>
      <c r="BD25" s="31"/>
      <c r="BE25" s="31"/>
      <c r="BF25" s="31"/>
      <c r="BG25" s="31"/>
      <c r="BH25" s="31"/>
      <c r="BI25" s="31"/>
      <c r="BJ25" s="31"/>
      <c r="BK25" s="31"/>
      <c r="BL25" s="31"/>
      <c r="BM25" s="31"/>
      <c r="BN25" s="31"/>
      <c r="BO25" s="32"/>
      <c r="BP25" s="17"/>
    </row>
    <row r="26" ht="15" customHeight="1">
      <c r="A26" s="2"/>
      <c r="B26" s="71" t="s">
        <v>59</v>
      </c>
      <c r="C26" s="27"/>
      <c r="D26" s="27"/>
      <c r="E26" s="27"/>
      <c r="F26" s="27"/>
      <c r="G26" s="28"/>
      <c r="H26" s="71" t="s">
        <v>60</v>
      </c>
      <c r="I26" s="10"/>
      <c r="J26" s="10"/>
      <c r="K26" s="11"/>
      <c r="L26" s="64" t="s">
        <v>61</v>
      </c>
      <c r="M26" s="10"/>
      <c r="N26" s="10"/>
      <c r="O26" s="10"/>
      <c r="P26" s="11"/>
      <c r="Q26" s="72" t="s">
        <v>62</v>
      </c>
      <c r="R26" s="13"/>
      <c r="S26" s="13"/>
      <c r="T26" s="13"/>
      <c r="U26" s="13"/>
      <c r="V26" s="13"/>
      <c r="W26" s="13"/>
      <c r="X26" s="13"/>
      <c r="Y26" s="13"/>
      <c r="Z26" s="13"/>
      <c r="AA26" s="13"/>
      <c r="AB26" s="13"/>
      <c r="AC26" s="13"/>
      <c r="AD26" s="13"/>
      <c r="AE26" s="13"/>
      <c r="AF26" s="13"/>
      <c r="AG26" s="14"/>
      <c r="AH26" s="2"/>
      <c r="AI26" s="15"/>
      <c r="AJ26" s="71" t="s">
        <v>59</v>
      </c>
      <c r="AK26" s="27"/>
      <c r="AL26" s="27"/>
      <c r="AM26" s="27"/>
      <c r="AN26" s="27"/>
      <c r="AO26" s="28"/>
      <c r="AP26" s="71" t="s">
        <v>60</v>
      </c>
      <c r="AQ26" s="10"/>
      <c r="AR26" s="10"/>
      <c r="AS26" s="11"/>
      <c r="AT26" s="64" t="s">
        <v>61</v>
      </c>
      <c r="AU26" s="10"/>
      <c r="AV26" s="10"/>
      <c r="AW26" s="10"/>
      <c r="AX26" s="11"/>
      <c r="AY26" s="36" t="s">
        <v>63</v>
      </c>
      <c r="AZ26" s="10"/>
      <c r="BA26" s="10"/>
      <c r="BB26" s="10"/>
      <c r="BC26" s="10"/>
      <c r="BD26" s="10"/>
      <c r="BE26" s="10"/>
      <c r="BF26" s="10"/>
      <c r="BG26" s="10"/>
      <c r="BH26" s="10"/>
      <c r="BI26" s="10"/>
      <c r="BJ26" s="10"/>
      <c r="BK26" s="10"/>
      <c r="BL26" s="10"/>
      <c r="BM26" s="10"/>
      <c r="BN26" s="10"/>
      <c r="BO26" s="11"/>
      <c r="BP26" s="17"/>
    </row>
    <row r="27" ht="15" customHeight="1">
      <c r="A27" s="2"/>
      <c r="B27" s="30"/>
      <c r="C27" s="31"/>
      <c r="D27" s="31"/>
      <c r="E27" s="31"/>
      <c r="F27" s="31"/>
      <c r="G27" s="32"/>
      <c r="H27" s="29" t="s">
        <v>64</v>
      </c>
      <c r="I27" s="10"/>
      <c r="J27" s="10"/>
      <c r="K27" s="11"/>
      <c r="L27" s="73" t="s">
        <v>65</v>
      </c>
      <c r="M27" s="13"/>
      <c r="N27" s="13"/>
      <c r="O27" s="13"/>
      <c r="P27" s="13"/>
      <c r="Q27" s="13"/>
      <c r="R27" s="13"/>
      <c r="S27" s="13"/>
      <c r="T27" s="13"/>
      <c r="U27" s="13"/>
      <c r="V27" s="13"/>
      <c r="W27" s="13"/>
      <c r="X27" s="13"/>
      <c r="Y27" s="13"/>
      <c r="Z27" s="13"/>
      <c r="AA27" s="13"/>
      <c r="AB27" s="13"/>
      <c r="AC27" s="13"/>
      <c r="AD27" s="13"/>
      <c r="AE27" s="13"/>
      <c r="AF27" s="13"/>
      <c r="AG27" s="14"/>
      <c r="AH27" s="2"/>
      <c r="AI27" s="15"/>
      <c r="AJ27" s="30"/>
      <c r="AK27" s="31"/>
      <c r="AL27" s="31"/>
      <c r="AM27" s="31"/>
      <c r="AN27" s="31"/>
      <c r="AO27" s="32"/>
      <c r="AP27" s="29" t="s">
        <v>64</v>
      </c>
      <c r="AQ27" s="10"/>
      <c r="AR27" s="10"/>
      <c r="AS27" s="11"/>
      <c r="AT27" s="73" t="s">
        <v>65</v>
      </c>
      <c r="AU27" s="13"/>
      <c r="AV27" s="13"/>
      <c r="AW27" s="13"/>
      <c r="AX27" s="13"/>
      <c r="AY27" s="13"/>
      <c r="AZ27" s="13"/>
      <c r="BA27" s="13"/>
      <c r="BB27" s="13"/>
      <c r="BC27" s="13"/>
      <c r="BD27" s="13"/>
      <c r="BE27" s="13"/>
      <c r="BF27" s="13"/>
      <c r="BG27" s="13"/>
      <c r="BH27" s="13"/>
      <c r="BI27" s="13"/>
      <c r="BJ27" s="13"/>
      <c r="BK27" s="13"/>
      <c r="BL27" s="13"/>
      <c r="BM27" s="13"/>
      <c r="BN27" s="13"/>
      <c r="BO27" s="14"/>
      <c r="BP27" s="17"/>
    </row>
    <row r="28" ht="15" customHeight="1">
      <c r="A28" s="2"/>
      <c r="B28" s="29" t="s">
        <v>66</v>
      </c>
      <c r="C28" s="27"/>
      <c r="D28" s="27"/>
      <c r="E28" s="27"/>
      <c r="F28" s="27"/>
      <c r="G28" s="27"/>
      <c r="H28" s="27"/>
      <c r="I28" s="27"/>
      <c r="J28" s="27"/>
      <c r="K28" s="28"/>
      <c r="L28" s="29" t="str">
        <f>IF(L21="(自動計算)","(自動表示)",IF(L21&lt;2000,"6.6",IF(L21&lt;10000,"22(33)",IF(L21&gt;=10000,"77"," "))))</f>
        <v>6.6</v>
      </c>
      <c r="M28" s="10"/>
      <c r="N28" s="10"/>
      <c r="O28" s="10"/>
      <c r="P28" s="10"/>
      <c r="Q28" s="10"/>
      <c r="R28" s="10"/>
      <c r="S28" s="10"/>
      <c r="T28" s="10"/>
      <c r="U28" s="10"/>
      <c r="V28" s="10"/>
      <c r="W28" s="10"/>
      <c r="X28" s="10"/>
      <c r="Y28" s="10"/>
      <c r="Z28" s="10"/>
      <c r="AA28" s="10"/>
      <c r="AB28" s="10"/>
      <c r="AC28" s="10"/>
      <c r="AD28" s="11"/>
      <c r="AE28" s="29" t="s">
        <v>67</v>
      </c>
      <c r="AF28" s="10"/>
      <c r="AG28" s="11"/>
      <c r="AH28" s="2"/>
      <c r="AI28" s="15"/>
      <c r="AJ28" s="29" t="s">
        <v>68</v>
      </c>
      <c r="AK28" s="27"/>
      <c r="AL28" s="27"/>
      <c r="AM28" s="27"/>
      <c r="AN28" s="27"/>
      <c r="AO28" s="27"/>
      <c r="AP28" s="27"/>
      <c r="AQ28" s="27"/>
      <c r="AR28" s="27"/>
      <c r="AS28" s="28"/>
      <c r="AT28" s="29" t="str">
        <f>IF(AT21="(自動計算)","(自動表示)",IF(AT21&lt;2000,"6.6",IF(AT21&lt;10000,"22(33)",IF(AT21&gt;=10000,"77"," "))))</f>
        <v>77</v>
      </c>
      <c r="AU28" s="10"/>
      <c r="AV28" s="10"/>
      <c r="AW28" s="10"/>
      <c r="AX28" s="10"/>
      <c r="AY28" s="10"/>
      <c r="AZ28" s="10"/>
      <c r="BA28" s="10"/>
      <c r="BB28" s="10"/>
      <c r="BC28" s="10"/>
      <c r="BD28" s="10"/>
      <c r="BE28" s="10"/>
      <c r="BF28" s="10"/>
      <c r="BG28" s="10"/>
      <c r="BH28" s="10"/>
      <c r="BI28" s="10"/>
      <c r="BJ28" s="10"/>
      <c r="BK28" s="10"/>
      <c r="BL28" s="11"/>
      <c r="BM28" s="29" t="s">
        <v>67</v>
      </c>
      <c r="BN28" s="10"/>
      <c r="BO28" s="11"/>
      <c r="BP28" s="17"/>
      <c r="BT28" s="18">
        <f t="shared" si="1"/>
        <v>1</v>
      </c>
    </row>
    <row r="29" ht="15" customHeight="1">
      <c r="A29" s="2"/>
      <c r="B29" s="30"/>
      <c r="C29" s="31"/>
      <c r="D29" s="31"/>
      <c r="E29" s="31"/>
      <c r="F29" s="31"/>
      <c r="G29" s="31"/>
      <c r="H29" s="31"/>
      <c r="I29" s="31"/>
      <c r="J29" s="31"/>
      <c r="K29" s="32"/>
      <c r="L29" s="74" t="s">
        <v>69</v>
      </c>
      <c r="M29" s="10"/>
      <c r="N29" s="10"/>
      <c r="O29" s="10"/>
      <c r="P29" s="10"/>
      <c r="Q29" s="10"/>
      <c r="R29" s="75"/>
      <c r="S29" s="69"/>
      <c r="T29" s="13"/>
      <c r="U29" s="13"/>
      <c r="V29" s="13"/>
      <c r="W29" s="13"/>
      <c r="X29" s="13"/>
      <c r="Y29" s="13"/>
      <c r="Z29" s="13"/>
      <c r="AA29" s="13"/>
      <c r="AB29" s="13"/>
      <c r="AC29" s="13"/>
      <c r="AD29" s="14"/>
      <c r="AE29" s="29" t="s">
        <v>67</v>
      </c>
      <c r="AF29" s="10"/>
      <c r="AG29" s="11"/>
      <c r="AH29" s="2"/>
      <c r="AI29" s="15"/>
      <c r="AJ29" s="30"/>
      <c r="AK29" s="31"/>
      <c r="AL29" s="31"/>
      <c r="AM29" s="31"/>
      <c r="AN29" s="31"/>
      <c r="AO29" s="31"/>
      <c r="AP29" s="31"/>
      <c r="AQ29" s="31"/>
      <c r="AR29" s="31"/>
      <c r="AS29" s="32"/>
      <c r="AT29" s="76" t="s">
        <v>69</v>
      </c>
      <c r="AU29" s="10"/>
      <c r="AV29" s="10"/>
      <c r="AW29" s="10"/>
      <c r="AX29" s="10"/>
      <c r="AY29" s="10"/>
      <c r="AZ29" s="77"/>
      <c r="BA29" s="70">
        <v>275</v>
      </c>
      <c r="BB29" s="10"/>
      <c r="BC29" s="10"/>
      <c r="BD29" s="10"/>
      <c r="BE29" s="10"/>
      <c r="BF29" s="10"/>
      <c r="BG29" s="10"/>
      <c r="BH29" s="10"/>
      <c r="BI29" s="10"/>
      <c r="BJ29" s="10"/>
      <c r="BK29" s="10"/>
      <c r="BL29" s="11"/>
      <c r="BM29" s="29" t="s">
        <v>67</v>
      </c>
      <c r="BN29" s="10"/>
      <c r="BO29" s="11"/>
      <c r="BP29" s="17"/>
      <c r="BT29" s="78" t="b">
        <v>0</v>
      </c>
    </row>
    <row r="30" ht="13.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79"/>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1"/>
    </row>
    <row r="32">
      <c r="U32" s="82"/>
      <c r="V32" s="82"/>
    </row>
    <row r="33">
      <c r="AO33" s="18"/>
    </row>
  </sheetData>
  <sheetProtection algorithmName="SHA-512" hashValue="8N+GTOdcVzDY858KAu+eIg83JsSvspgS7OalETBibqikvl3lbIpPrF1rVYrKCpEAzPRUSoRcBisH1J1gmWBNvA==" saltValue="nshBp3Xmwel1pgtivE8p3g==" spinCount="100000" autoFilter="1" deleteColumns="1" deleteRows="1" formatCells="0" formatColumns="1" formatRows="1" insertColumns="1" insertHyperlinks="1" insertRows="1" objects="0" pivotTables="1" scenarios="0" selectLockedCells="1" selectUnlockedCells="0" sheet="1" sort="1"/>
  <mergeCells count="117">
    <mergeCell ref="AL1:BM1"/>
    <mergeCell ref="B2:K2"/>
    <mergeCell ref="L2:AG2"/>
    <mergeCell ref="AJ2:AS2"/>
    <mergeCell ref="AT2:BO2"/>
    <mergeCell ref="B4:K4"/>
    <mergeCell ref="AJ4:AS4"/>
    <mergeCell ref="B5:K5"/>
    <mergeCell ref="L5:AG5"/>
    <mergeCell ref="AJ5:AS5"/>
    <mergeCell ref="AT5:BO5"/>
    <mergeCell ref="B6:K6"/>
    <mergeCell ref="L6:AG6"/>
    <mergeCell ref="AJ6:AS6"/>
    <mergeCell ref="AT6:BO6"/>
    <mergeCell ref="B7:K7"/>
    <mergeCell ref="L7:AG7"/>
    <mergeCell ref="AJ7:AS7"/>
    <mergeCell ref="AT7:BO7"/>
    <mergeCell ref="B8:K8"/>
    <mergeCell ref="L8:AG8"/>
    <mergeCell ref="AJ8:AS8"/>
    <mergeCell ref="AT8:BO8"/>
    <mergeCell ref="B9:K9"/>
    <mergeCell ref="L9:AG9"/>
    <mergeCell ref="AJ9:AS9"/>
    <mergeCell ref="AT9:BO9"/>
    <mergeCell ref="B10:K10"/>
    <mergeCell ref="L10:AG10"/>
    <mergeCell ref="AJ10:AS10"/>
    <mergeCell ref="AT10:BO10"/>
    <mergeCell ref="B12:K12"/>
    <mergeCell ref="AJ12:AS12"/>
    <mergeCell ref="B13:K14"/>
    <mergeCell ref="L13:P13"/>
    <mergeCell ref="Q13:W13"/>
    <mergeCell ref="X13:AG13"/>
    <mergeCell ref="AJ13:AS14"/>
    <mergeCell ref="AT13:AX13"/>
    <mergeCell ref="AY13:BE13"/>
    <mergeCell ref="BF13:BO13"/>
    <mergeCell ref="L14:P14"/>
    <mergeCell ref="Q14:W14"/>
    <mergeCell ref="X14:AG14"/>
    <mergeCell ref="AT14:AX14"/>
    <mergeCell ref="AY14:BE14"/>
    <mergeCell ref="BF14:BO14"/>
    <mergeCell ref="B15:K16"/>
    <mergeCell ref="L15:Q15"/>
    <mergeCell ref="R15:W15"/>
    <mergeCell ref="X15:AG16"/>
    <mergeCell ref="AJ15:AS16"/>
    <mergeCell ref="AT15:AY15"/>
    <mergeCell ref="AZ15:BE15"/>
    <mergeCell ref="BF15:BO16"/>
    <mergeCell ref="L16:Q16"/>
    <mergeCell ref="R16:W16"/>
    <mergeCell ref="AT16:AY16"/>
    <mergeCell ref="AZ16:BE16"/>
    <mergeCell ref="B17:K17"/>
    <mergeCell ref="L17:O17"/>
    <mergeCell ref="P17:AG17"/>
    <mergeCell ref="AJ17:AS17"/>
    <mergeCell ref="AT17:AW17"/>
    <mergeCell ref="AX17:BO17"/>
    <mergeCell ref="B18:K18"/>
    <mergeCell ref="L18:AG18"/>
    <mergeCell ref="AJ18:AS18"/>
    <mergeCell ref="AT18:BO18"/>
    <mergeCell ref="B19:K19"/>
    <mergeCell ref="L19:AD19"/>
    <mergeCell ref="AE19:AG19"/>
    <mergeCell ref="AJ19:AS19"/>
    <mergeCell ref="AT19:BL19"/>
    <mergeCell ref="BM19:BO19"/>
    <mergeCell ref="B20:K20"/>
    <mergeCell ref="L20:AD20"/>
    <mergeCell ref="AE20:AG20"/>
    <mergeCell ref="AJ20:AS20"/>
    <mergeCell ref="AT20:BL20"/>
    <mergeCell ref="BM20:BO20"/>
    <mergeCell ref="B21:K21"/>
    <mergeCell ref="L21:AD21"/>
    <mergeCell ref="AE21:AG21"/>
    <mergeCell ref="AJ21:AS21"/>
    <mergeCell ref="AT21:BL21"/>
    <mergeCell ref="BM21:BO21"/>
    <mergeCell ref="B23:K23"/>
    <mergeCell ref="AJ23:AS23"/>
    <mergeCell ref="B24:K25"/>
    <mergeCell ref="L24:AG25"/>
    <mergeCell ref="AJ24:AS25"/>
    <mergeCell ref="AT24:BO25"/>
    <mergeCell ref="B26:G27"/>
    <mergeCell ref="H26:K26"/>
    <mergeCell ref="L26:P26"/>
    <mergeCell ref="Q26:AG26"/>
    <mergeCell ref="AJ26:AO27"/>
    <mergeCell ref="AP26:AS26"/>
    <mergeCell ref="AT26:AX26"/>
    <mergeCell ref="AY26:BO26"/>
    <mergeCell ref="H27:K27"/>
    <mergeCell ref="L27:AG27"/>
    <mergeCell ref="AP27:AS27"/>
    <mergeCell ref="AT27:BO27"/>
    <mergeCell ref="B28:K29"/>
    <mergeCell ref="L28:AD28"/>
    <mergeCell ref="AE28:AG28"/>
    <mergeCell ref="AJ28:AS29"/>
    <mergeCell ref="AT28:BL28"/>
    <mergeCell ref="BM28:BO28"/>
    <mergeCell ref="L29:Q29"/>
    <mergeCell ref="S29:AD29"/>
    <mergeCell ref="AE29:AG29"/>
    <mergeCell ref="AT29:AY29"/>
    <mergeCell ref="BA29:BL29"/>
    <mergeCell ref="BM29:BO29"/>
  </mergeCells>
  <hyperlinks>
    <hyperlink location="緯度経度取得方法の例!A1" ref="X15"/>
    <hyperlink location="'緯度経度取得方法の例 (2)'!A1" ref="BF15"/>
    <hyperlink location="申込書!A1" ref="P17"/>
    <hyperlink location="'申込書 (案)'!A1" ref="AX17"/>
  </hyperlinks>
  <printOptions headings="0" gridLines="0"/>
  <pageMargins left="0.69999999999999996" right="0.69999999999999996" top="0.75" bottom="0.75" header="0.29999999999999999" footer="0.29999999999999999"/>
  <pageSetup paperSize="9" scale="51" fitToWidth="1" fitToHeight="1" pageOrder="downThenOver" orientation="portrait" usePrinterDefaults="1" blackAndWhite="0" draft="0" cellComments="none" useFirstPageNumber="0" errors="displayed" horizontalDpi="600" verticalDpi="600" copies="1"/>
  <headerFooter/>
  <legacyDrawing r:id="rId3"/>
  <extLst>
    <ext xmlns:x14="http://schemas.microsoft.com/office/spreadsheetml/2009/9/main" uri="{78C0D931-6437-407d-A8EE-F0AAD7539E65}">
      <x14:conditionalFormattings>
        <x14:conditionalFormatting xmlns:xm="http://schemas.microsoft.com/office/excel/2006/main">
          <x14:cfRule type="expression" priority="17" id="{EE9F6A1C-61B5-419D-A7C0-3D5CF1297270}">
            <xm:f>AND($BT$29=FALSE,$S$29="")</xm:f>
            <x14:dxf>
              <fill>
                <patternFill patternType="solid">
                  <fgColor theme="2" tint="-0.499984740745262"/>
                  <bgColor theme="2" tint="-0.499984740745262"/>
                </patternFill>
              </fill>
            </x14:dxf>
          </x14:cfRule>
          <xm:sqref>S29 AE29</xm:sqref>
        </x14:conditionalFormatting>
        <x14:conditionalFormatting xmlns:xm="http://schemas.microsoft.com/office/excel/2006/main">
          <x14:cfRule type="containsBlanks" priority="8" id="{3BE3252D-EF39-4986-957E-E31E5A9745BC}">
            <xm:f>LEN(TRIM(L17))=0</xm:f>
            <x14:dxf>
              <fill>
                <patternFill patternType="solid">
                  <fgColor rgb="FFFFC000"/>
                  <bgColor rgb="FFFFC000"/>
                </patternFill>
              </fill>
            </x14:dxf>
          </x14:cfRule>
          <xm:sqref>L17</xm:sqref>
        </x14:conditionalFormatting>
        <x14:conditionalFormatting xmlns:xm="http://schemas.microsoft.com/office/excel/2006/main">
          <x14:cfRule type="containsBlanks" priority="7" id="{4F53B2CD-20BC-42F8-A0F4-A3A1AB35C8D8}">
            <xm:f>LEN(TRIM(AT17))=0</xm:f>
            <x14:dxf>
              <fill>
                <patternFill patternType="solid">
                  <fgColor rgb="FFFFC000"/>
                  <bgColor rgb="FFFFC000"/>
                </patternFill>
              </fill>
            </x14:dxf>
          </x14:cfRule>
          <xm:sqref>AT17</xm:sqref>
        </x14:conditionalFormatting>
        <x14:conditionalFormatting xmlns:xm="http://schemas.microsoft.com/office/excel/2006/main">
          <x14:cfRule type="containsBlanks" priority="6" id="{B489703D-16E5-4620-B755-93ED26CB4D7E}">
            <xm:f>LEN(TRIM(L2))=0</xm:f>
            <x14:dxf>
              <fill>
                <patternFill patternType="solid">
                  <fgColor rgb="FFFFC000"/>
                  <bgColor rgb="FFFFC000"/>
                </patternFill>
              </fill>
            </x14:dxf>
          </x14:cfRule>
          <xm:sqref>L2 L5:AG9 L14:AG14 L16 L18:AG19 L24:AG25 R16</xm:sqref>
        </x14:conditionalFormatting>
        <x14:conditionalFormatting xmlns:xm="http://schemas.microsoft.com/office/excel/2006/main">
          <x14:cfRule type="expression" priority="4" id="{658A8F2D-65AC-4378-BAE4-B34303FC1536}">
            <xm:f>AND($BT$29=TRUE,$S$29="")</xm:f>
            <x14:dxf>
              <fill>
                <patternFill patternType="solid">
                  <fgColor rgb="FFFFC000"/>
                  <bgColor rgb="FFFFC000"/>
                </patternFill>
              </fill>
            </x14:dxf>
          </x14:cfRule>
          <xm:sqref>S29:AD29</xm:sqref>
        </x14:conditionalFormatting>
      </x14:conditionalFormattings>
    </ext>
    <ext xmlns:x14="http://schemas.microsoft.com/office/spreadsheetml/2009/9/main" uri="{CCE6A557-97BC-4b89-ADB6-D9C93CAAB3DF}">
      <x14:dataValidations xmlns:xm="http://schemas.microsoft.com/office/excel/2006/main" count="5" disablePrompts="0">
        <x14:dataValidation xr:uid="{97FD01AE-1FE4-4061-820A-45E18E0EFAC1}" type="list" allowBlank="1" errorStyle="stop" imeMode="noControl" operator="between" showDropDown="0" showErrorMessage="1" showInputMessage="1">
          <x14:formula1>
            <xm:f>"大阪府,京都府,兵庫県,滋賀県,奈良県,和歌山県,福井県,岐阜県,三重県,富山県,長野県"</xm:f>
          </x14:formula1>
          <xm:sqref>AT14:AX14</xm:sqref>
        </x14:dataValidation>
        <x14:dataValidation xr:uid="{6D5D4F20-2E49-48C6-8D1B-5524F880D673}" type="list" allowBlank="1" errorStyle="stop" imeMode="noControl" operator="between" showDropDown="0" showErrorMessage="1" showInputMessage="1">
          <x14:formula1>
            <xm:f>"火力,一般水力,揚水,原子力,太陽光,風力,蓄電池,地熱,ﾊﾞｲｵﾏｽ,その他"</xm:f>
          </x14:formula1>
          <xm:sqref>L18:AG18 AT18:BO18</xm:sqref>
        </x14:dataValidation>
        <x14:dataValidation xr:uid="{96FF3FE7-A0D9-49B4-97EE-4FDA53EFB071}" type="list" allowBlank="1" errorStyle="stop" imeMode="noControl" operator="between" showDropDown="0" showErrorMessage="1" showInputMessage="1">
          <x14:formula1>
            <xm:f>"関西電力送配電株式会社,配電事業者"</xm:f>
          </x14:formula1>
          <xm:sqref>L24:AG25 AT24:BO25</xm:sqref>
        </x14:dataValidation>
        <x14:dataValidation xr:uid="{D508D2EA-9CFA-453D-B83F-A8159A946F9A}" type="list" allowBlank="1" errorStyle="stop" imeMode="noControl" operator="between" showDropDown="0" showErrorMessage="1" showInputMessage="1">
          <x14:formula1>
            <xm:f>INDIRECT(L14)</xm:f>
          </x14:formula1>
          <xm:sqref>Q14 AY14</xm:sqref>
        </x14:dataValidation>
        <x14:dataValidation xr:uid="{4402570E-B43A-44E5-8F7C-F4CF36876914}" type="list" allowBlank="1" errorStyle="stop" imeMode="noControl" operator="between" showDropDown="0" showErrorMessage="1" showInputMessage="1">
          <x14:formula1>
            <xm:f>"大阪府,京都府,兵庫県,滋賀県,奈良県,和歌山県,福井県,岐阜県,三重県,富山県,長野県,愛知県,石川県"</xm:f>
          </x14:formula1>
          <xm:sqref>L14:P14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3">
    <tabColor rgb="FF92D050"/>
    <outlinePr applyStyles="0" summaryBelow="1" summaryRight="1" showOutlineSymbols="1"/>
    <pageSetUpPr autoPageBreaks="1" fitToPage="0"/>
  </sheetPr>
  <sheetViews>
    <sheetView showGridLines="0" view="pageBreakPreview" zoomScale="85" workbookViewId="0">
      <selection activeCell="B21" activeCellId="0" sqref="B21:L21"/>
    </sheetView>
  </sheetViews>
  <sheetFormatPr baseColWidth="8" defaultRowHeight="13"/>
  <cols>
    <col customWidth="1" min="1" max="1" style="1" width="1.6328125"/>
    <col customWidth="1" min="2" max="2" style="1" width="18.6328125"/>
    <col customWidth="1" min="3" max="3" style="1" width="10.6328125"/>
    <col customWidth="1" min="4" max="4" style="1" width="4.08984375"/>
    <col customWidth="1" min="5" max="5" style="1" width="15.6328125"/>
    <col customWidth="1" min="6" max="6" style="1" width="10.6328125"/>
    <col customWidth="1" min="7" max="7" style="1" width="4"/>
    <col customWidth="1" min="8" max="8" style="1" width="6.6328125"/>
    <col customWidth="1" min="9" max="9" style="1" width="1.1796875"/>
    <col customWidth="1" min="10" max="10" style="1" width="3.453125"/>
    <col customWidth="1" min="11" max="11" style="1" width="7.81640625"/>
    <col customWidth="1" min="12" max="12" style="1" width="4.08984375"/>
    <col customWidth="1" min="13" max="140" style="1" width="1.6328125"/>
  </cols>
  <sheetData>
    <row r="1" ht="16.5" customHeight="1">
      <c r="A1" s="83" t="s">
        <v>70</v>
      </c>
      <c r="BN1" s="84" t="s">
        <v>71</v>
      </c>
      <c r="DP1" s="84" t="s">
        <v>72</v>
      </c>
    </row>
    <row r="2">
      <c r="G2" s="85" t="s">
        <v>73</v>
      </c>
      <c r="N2" s="18" t="s">
        <v>74</v>
      </c>
      <c r="AK2" s="86"/>
    </row>
    <row r="3" ht="15" customHeight="1">
      <c r="F3" s="87" t="s">
        <v>75</v>
      </c>
      <c r="G3" s="88" t="str">
        <f>IF(入力フォーム!L2="","",入力フォーム!L2)</f>
        <v>2026/08/XX</v>
      </c>
    </row>
    <row r="4" ht="8.1500000000000004" customHeight="1">
      <c r="F4" s="89"/>
      <c r="G4" s="90"/>
      <c r="H4" s="90"/>
      <c r="I4" s="90"/>
      <c r="J4" s="90"/>
      <c r="K4" s="90"/>
      <c r="L4" s="90"/>
    </row>
    <row r="5">
      <c r="B5" s="91" t="s">
        <v>57</v>
      </c>
      <c r="E5" s="92" t="s">
        <v>76</v>
      </c>
      <c r="O5" s="91" t="s">
        <v>77</v>
      </c>
      <c r="AH5" s="91" t="s">
        <v>78</v>
      </c>
      <c r="AL5" s="93">
        <f>IF(入力フォーム!L16="","",入力フォーム!L16)</f>
        <v>34.488999999999997</v>
      </c>
      <c r="AM5" s="31"/>
      <c r="AN5" s="31"/>
      <c r="AO5" s="31"/>
      <c r="AP5" s="31"/>
      <c r="AQ5" s="31"/>
      <c r="AR5" s="31"/>
      <c r="AS5" s="31"/>
      <c r="AT5" s="18"/>
      <c r="AU5" s="91" t="s">
        <v>79</v>
      </c>
      <c r="AY5" s="93">
        <f>IF(入力フォーム!R16="","",入力フォーム!R16)</f>
        <v>136.20599999999999</v>
      </c>
      <c r="AZ5" s="31"/>
      <c r="BA5" s="31"/>
      <c r="BB5" s="31"/>
      <c r="BC5" s="31"/>
      <c r="BD5" s="31"/>
      <c r="BE5" s="31"/>
      <c r="BF5" s="31"/>
      <c r="BG5" s="18"/>
      <c r="BH5" s="18"/>
    </row>
    <row r="7" ht="15" customHeight="1">
      <c r="B7" s="94" t="s">
        <v>80</v>
      </c>
      <c r="P7" s="86" t="s">
        <v>81</v>
      </c>
    </row>
    <row r="8" ht="26.149999999999999" customHeight="1">
      <c r="B8" s="95" t="s">
        <v>82</v>
      </c>
      <c r="C8" s="95" t="s">
        <v>9</v>
      </c>
      <c r="D8" s="28"/>
      <c r="E8" s="96" t="str">
        <f>IF(入力フォーム!L5="","",入力フォーム!L5)</f>
        <v xml:space="preserve">（法人名 未定：一般社団法人Mitsue-it 設立準備中）</v>
      </c>
      <c r="F8" s="27"/>
      <c r="G8" s="27"/>
      <c r="H8" s="27"/>
      <c r="I8" s="27"/>
      <c r="J8" s="27"/>
      <c r="K8" s="27"/>
      <c r="L8" s="28"/>
    </row>
    <row r="9" ht="26.149999999999999" customHeight="1">
      <c r="B9" s="97"/>
      <c r="C9" s="98" t="s">
        <v>12</v>
      </c>
      <c r="D9" s="11"/>
      <c r="E9" s="96" t="str">
        <f>IF(入力フォーム!L6="","",入力フォーム!L6)</f>
        <v/>
      </c>
      <c r="F9" s="27"/>
      <c r="G9" s="27"/>
      <c r="H9" s="27"/>
      <c r="I9" s="27"/>
      <c r="J9" s="27"/>
      <c r="K9" s="27"/>
      <c r="L9" s="28"/>
    </row>
    <row r="10" ht="26.149999999999999" customHeight="1">
      <c r="B10" s="97"/>
      <c r="C10" s="98" t="s">
        <v>16</v>
      </c>
      <c r="D10" s="11"/>
      <c r="E10" s="99" t="str">
        <f>IF(入力フォーム!L7="","",入力フォーム!L7)</f>
        <v xml:space="preserve">Rob Oudendijk</v>
      </c>
      <c r="F10" s="10"/>
      <c r="G10" s="100" t="s">
        <v>23</v>
      </c>
      <c r="H10" s="11"/>
      <c r="I10" s="101" t="str">
        <f>IF(入力フォーム!L9="","",入力フォーム!L9)</f>
        <v/>
      </c>
      <c r="J10" s="10"/>
      <c r="K10" s="10"/>
      <c r="L10" s="11"/>
    </row>
    <row r="11" ht="26.149999999999999" customHeight="1">
      <c r="B11" s="97"/>
      <c r="C11" s="102" t="s">
        <v>20</v>
      </c>
      <c r="D11" s="61"/>
      <c r="E11" s="103" t="str">
        <f>IF(入力フォーム!L8="","",入力フォーム!L8)</f>
        <v>oudendijk.biz@gmail.com</v>
      </c>
      <c r="G11" s="98" t="s">
        <v>25</v>
      </c>
      <c r="H11" s="11"/>
      <c r="I11" s="101" t="str">
        <f>IF(入力フォーム!L10="","",入力フォーム!L10)</f>
        <v/>
      </c>
      <c r="J11" s="10"/>
      <c r="K11" s="10"/>
      <c r="L11" s="11"/>
    </row>
    <row r="12" ht="26.149999999999999" customHeight="1">
      <c r="B12" s="104" t="s">
        <v>83</v>
      </c>
      <c r="C12" s="105" t="str">
        <f>IF(入力フォーム!L14="","",入力フォーム!L14)</f>
        <v>奈良県</v>
      </c>
      <c r="D12" s="106" t="str">
        <f>IF(入力フォーム!Q14="","",入力フォーム!Q14)</f>
        <v>宇陀郡御杖村</v>
      </c>
      <c r="E12" s="10"/>
      <c r="F12" s="107" t="str">
        <f>IF(入力フォーム!X14="","",入力フォーム!X14)</f>
        <v>大字神末797</v>
      </c>
      <c r="G12" s="10"/>
      <c r="H12" s="10"/>
      <c r="I12" s="10"/>
      <c r="J12" s="10"/>
      <c r="K12" s="10"/>
      <c r="L12" s="11"/>
    </row>
    <row r="13" ht="26.149999999999999" customHeight="1">
      <c r="B13" s="108" t="s">
        <v>47</v>
      </c>
      <c r="C13" s="109" t="str">
        <f>IF(入力フォーム!L18="","",入力フォーム!L18)</f>
        <v>バイオマス（未利用木質）</v>
      </c>
      <c r="D13" s="10"/>
      <c r="E13" s="110" t="s">
        <v>58</v>
      </c>
      <c r="F13" s="11"/>
      <c r="G13" s="111" t="str">
        <f>IF(入力フォーム!L24="","",入力フォーム!L24)</f>
        <v>関西電力送配電株式会社</v>
      </c>
      <c r="H13" s="10"/>
      <c r="I13" s="10"/>
      <c r="J13" s="10"/>
      <c r="K13" s="10"/>
      <c r="L13" s="11"/>
    </row>
    <row r="14" ht="25.5" customHeight="1">
      <c r="B14" s="95" t="s">
        <v>51</v>
      </c>
      <c r="C14" s="112">
        <f>IF(入力フォーム!L19="","",入力フォーム!L19)</f>
        <v>1150</v>
      </c>
      <c r="D14" s="113" t="s">
        <v>50</v>
      </c>
      <c r="E14" s="100" t="s">
        <v>84</v>
      </c>
      <c r="F14" s="100" t="s">
        <v>60</v>
      </c>
      <c r="G14" s="100" t="s">
        <v>61</v>
      </c>
      <c r="H14" s="11"/>
      <c r="I14" s="114" t="str">
        <f>IF(入力フォーム!Q26="","-",入力フォーム!Q26)</f>
        <v>掛(奈CP)または長野(奈CO)変電所付近を希望・詳細未定</v>
      </c>
      <c r="J14" s="10"/>
      <c r="K14" s="10"/>
      <c r="L14" s="11"/>
      <c r="T14" s="115"/>
    </row>
    <row r="15" ht="26.149999999999999" customHeight="1">
      <c r="B15" s="98" t="s">
        <v>85</v>
      </c>
      <c r="C15" s="116">
        <f>IF(入力フォーム!L21="","",入力フォーム!L21)</f>
        <v>1150</v>
      </c>
      <c r="D15" s="117" t="s">
        <v>50</v>
      </c>
      <c r="E15" s="118"/>
      <c r="F15" s="119" t="s">
        <v>64</v>
      </c>
      <c r="G15" s="120" t="str">
        <f>IF(入力フォーム!L27="","-",入力フォーム!L27)</f>
        <v>-</v>
      </c>
      <c r="L15" s="61"/>
      <c r="S15" s="115"/>
    </row>
    <row r="16" ht="26.149999999999999" customHeight="1">
      <c r="B16" s="121"/>
      <c r="C16" s="10"/>
      <c r="D16" s="11"/>
      <c r="E16" s="98" t="s">
        <v>86</v>
      </c>
      <c r="F16" s="11"/>
      <c r="G16" s="122" t="str">
        <f>IF(入力フォーム!S29="",入力フォーム!L28,入力フォーム!S29)</f>
        <v>6.6</v>
      </c>
      <c r="H16" s="10"/>
      <c r="I16" s="10"/>
      <c r="J16" s="10"/>
      <c r="K16" s="10"/>
      <c r="L16" s="123" t="s">
        <v>67</v>
      </c>
    </row>
    <row r="17" ht="5" customHeight="1"/>
    <row r="18" ht="47.25" customHeight="1">
      <c r="B18" s="124" t="s">
        <v>87</v>
      </c>
    </row>
    <row r="19" ht="23.25" customHeight="1">
      <c r="B19" s="125" t="s">
        <v>88</v>
      </c>
    </row>
    <row r="20" ht="5" customHeight="1"/>
    <row r="21">
      <c r="B21" s="126" t="s">
        <v>89</v>
      </c>
      <c r="C21" s="58"/>
      <c r="D21" s="58"/>
      <c r="E21" s="58"/>
      <c r="F21" s="58"/>
      <c r="G21" s="58"/>
      <c r="H21" s="58"/>
      <c r="I21" s="58"/>
      <c r="J21" s="58"/>
      <c r="K21" s="58"/>
      <c r="L21" s="58"/>
    </row>
    <row r="22" ht="8.1500000000000004" customHeight="1"/>
    <row r="23" ht="319.5" customHeight="1">
      <c r="B23" s="127" t="s">
        <v>90</v>
      </c>
      <c r="W23" s="128"/>
    </row>
    <row r="24" s="128" customFormat="1" ht="12.5" customHeight="1">
      <c r="L24" s="129" t="s">
        <v>91</v>
      </c>
    </row>
    <row r="25" s="128" customFormat="1" ht="12.5" customHeight="1">
      <c r="B25" s="130" t="s">
        <v>92</v>
      </c>
    </row>
  </sheetData>
  <sheetProtection algorithmName="SHA-512" hashValue="PIofU479xZ2jJXNP/j7aFrB+4JkRMBwgqeLc9Io9EcRxPKS80J6hpdttW1/C5adFryUcX+nwRLpnSwrsIGxi7A==" saltValue="LDmo2WJCQzXa1ME9RaHEpQ==" spinCount="100000" autoFilter="1" deleteColumns="1" deleteRows="1" formatCells="1" formatColumns="1" formatRows="1" insertColumns="1" insertHyperlinks="1" insertRows="1" objects="1" pivotTables="1" scenarios="1" selectLockedCells="1" selectUnlockedCells="0" sheet="1" sort="1"/>
  <mergeCells count="38">
    <mergeCell ref="I14:L14"/>
    <mergeCell ref="G13:L13"/>
    <mergeCell ref="G11:H11"/>
    <mergeCell ref="B25:L25"/>
    <mergeCell ref="G3:L3"/>
    <mergeCell ref="I10:L10"/>
    <mergeCell ref="E8:L8"/>
    <mergeCell ref="B18:L18"/>
    <mergeCell ref="G15:L15"/>
    <mergeCell ref="C10:D10"/>
    <mergeCell ref="B21:L21"/>
    <mergeCell ref="E10:F10"/>
    <mergeCell ref="B8:B11"/>
    <mergeCell ref="G10:H10"/>
    <mergeCell ref="E13:F13"/>
    <mergeCell ref="C9:D9"/>
    <mergeCell ref="I11:L11"/>
    <mergeCell ref="B23:L23"/>
    <mergeCell ref="AU5:AX5"/>
    <mergeCell ref="E9:L9"/>
    <mergeCell ref="B5:D5"/>
    <mergeCell ref="AH5:AK5"/>
    <mergeCell ref="C11:D11"/>
    <mergeCell ref="E11:F11"/>
    <mergeCell ref="F12:L12"/>
    <mergeCell ref="G14:H14"/>
    <mergeCell ref="AY5:BF5"/>
    <mergeCell ref="B16:D16"/>
    <mergeCell ref="D12:E12"/>
    <mergeCell ref="C8:D8"/>
    <mergeCell ref="AL5:AS5"/>
    <mergeCell ref="O5:AG5"/>
    <mergeCell ref="E16:F16"/>
    <mergeCell ref="G2:L2"/>
    <mergeCell ref="G16:K16"/>
    <mergeCell ref="A1:L1"/>
    <mergeCell ref="C13:D13"/>
    <mergeCell ref="E14:E15"/>
  </mergeCells>
  <dataValidations count="3" disablePrompts="0">
    <dataValidation sqref="G15:L15" type="none" allowBlank="1" errorStyle="stop" imeMode="noControl" operator="between" prompt="買取先を選択する項目ではございませんので、&#10;ご注意ください。" showDropDown="0" showErrorMessage="1" showInputMessage="0"/>
    <dataValidation sqref="C15" type="none" allowBlank="1" error="最大受電電力が2,000ｋＷ以上となる場合は、原則、特別高圧での連系となります。" errorStyle="warning" imeMode="noControl" operator="lessThan" prompt="最大受電電力が2,000ｋＷ以上となる場合は、原則、特別高圧での連系となりますので、特別高圧の担当窓口へお申込みください。" showDropDown="0" showErrorMessage="0" showInputMessage="0"/>
    <dataValidation sqref="C13:D13" type="none" allowBlank="1" errorStyle="stop" imeMode="noControl" operator="between" showDropDown="0" showErrorMessage="0" showInputMessage="1"/>
  </dataValidations>
  <printOptions headings="0" gridLines="0"/>
  <pageMargins left="0.70866141732283472" right="0.70866141732283472" top="0.55118110236220474" bottom="0.35433070866141736" header="0.31496062992125978" footer="0.31496062992125978"/>
  <pageSetup paperSize="9" scale="96" fitToWidth="1" fitToHeight="1" pageOrder="downThenOver" orientation="portrait" usePrinterDefaults="1" blackAndWhite="0" draft="0" cellComments="none" useFirstPageNumber="0" errors="displayed" horizontalDpi="600" verticalDpi="600" copies="1"/>
  <headerFooter/>
  <colBreaks count="2" manualBreakCount="2">
    <brk id="12" man="1" max="25" min="0"/>
    <brk id="66" man="1" max="25" min="0"/>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6">
    <outlinePr applyStyles="0" summaryBelow="1" summaryRight="1" showOutlineSymbols="1"/>
    <pageSetUpPr autoPageBreaks="1" fitToPage="0"/>
  </sheetPr>
  <sheetViews>
    <sheetView showGridLines="0" view="pageBreakPreview" zoomScale="115" workbookViewId="0">
      <selection activeCell="H21" activeCellId="0" sqref="H21"/>
    </sheetView>
  </sheetViews>
  <sheetFormatPr baseColWidth="8" defaultColWidth="9" defaultRowHeight="15"/>
  <cols>
    <col customWidth="1" min="1" max="1" style="2" width="3.81640625"/>
    <col customWidth="1" min="2" max="33" style="2" width="3.6328125"/>
    <col customWidth="1" min="34" max="35" style="2" width="3.81640625"/>
    <col customWidth="1" hidden="1" min="36" max="37" style="2" width="3.81640625"/>
    <col customWidth="1" min="38" max="38" style="2" width="3.81640625"/>
    <col customWidth="1" min="39" max="16384" style="2" width="9"/>
  </cols>
  <sheetData>
    <row r="1" ht="9.75" customHeight="1"/>
    <row r="2" ht="19.5" customHeight="1">
      <c r="A2" s="131" t="s">
        <v>93</v>
      </c>
    </row>
    <row r="3" ht="17.25" customHeight="1">
      <c r="A3" s="132" t="s">
        <v>94</v>
      </c>
    </row>
    <row r="4" ht="12.75" customHeight="1">
      <c r="A4" s="133"/>
      <c r="S4" s="2"/>
    </row>
    <row r="5" ht="15.75" customHeight="1">
      <c r="A5" s="134" t="s">
        <v>95</v>
      </c>
    </row>
    <row r="6" ht="15.75" customHeight="1">
      <c r="A6" s="135" t="s">
        <v>96</v>
      </c>
      <c r="K6" s="136" t="s">
        <v>97</v>
      </c>
      <c r="L6" s="2"/>
      <c r="M6" s="2"/>
      <c r="N6" s="2"/>
      <c r="O6" s="2"/>
      <c r="P6" s="2"/>
      <c r="Q6" s="2"/>
      <c r="R6" s="2"/>
      <c r="S6" s="2"/>
    </row>
    <row r="7" ht="15.75" customHeight="1">
      <c r="A7" s="135" t="s">
        <v>98</v>
      </c>
      <c r="B7" s="135"/>
      <c r="C7" s="135"/>
      <c r="D7" s="135"/>
      <c r="E7" s="135"/>
      <c r="F7" s="135"/>
      <c r="G7" s="135"/>
      <c r="H7" s="135"/>
      <c r="I7" s="135"/>
      <c r="J7" s="137"/>
      <c r="K7" s="136" t="s">
        <v>97</v>
      </c>
      <c r="L7" s="2"/>
      <c r="M7" s="2"/>
      <c r="N7" s="2"/>
      <c r="O7" s="2"/>
      <c r="P7" s="2"/>
      <c r="Q7" s="2"/>
      <c r="R7" s="2"/>
      <c r="S7" s="2"/>
    </row>
    <row r="8" ht="15.75" customHeight="1">
      <c r="A8" s="2"/>
      <c r="B8" s="2"/>
      <c r="C8" s="2"/>
      <c r="D8" s="2"/>
      <c r="E8" s="2"/>
      <c r="F8" s="2"/>
      <c r="G8" s="2"/>
      <c r="H8" s="2"/>
      <c r="I8" s="2"/>
      <c r="J8" s="2"/>
      <c r="K8" s="2"/>
      <c r="L8" s="2"/>
      <c r="M8" s="2"/>
      <c r="N8" s="2"/>
      <c r="O8" s="2"/>
      <c r="P8" s="2"/>
      <c r="Q8" s="2"/>
      <c r="R8" s="2"/>
      <c r="S8" s="2"/>
    </row>
    <row r="9">
      <c r="A9" s="134" t="s">
        <v>99</v>
      </c>
      <c r="K9" s="138"/>
      <c r="L9" s="138" t="s">
        <v>100</v>
      </c>
      <c r="T9" s="139"/>
    </row>
    <row r="10">
      <c r="A10" s="134"/>
      <c r="K10" s="138"/>
      <c r="L10" s="138" t="s">
        <v>101</v>
      </c>
      <c r="T10" s="139"/>
    </row>
    <row r="11">
      <c r="A11" s="140" t="s">
        <v>102</v>
      </c>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row>
    <row r="12" ht="15.5" customHeight="1">
      <c r="A12" s="139"/>
      <c r="B12" s="141" t="s">
        <v>103</v>
      </c>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row>
    <row r="13" ht="15.75" customHeight="1">
      <c r="A13" s="139"/>
      <c r="B13" s="142" t="s">
        <v>104</v>
      </c>
      <c r="C13" s="7"/>
      <c r="D13" s="7"/>
      <c r="E13" s="7"/>
      <c r="F13" s="7"/>
      <c r="G13" s="7"/>
      <c r="H13" s="7"/>
      <c r="I13" s="7"/>
      <c r="J13" s="7"/>
      <c r="K13" s="7"/>
      <c r="L13" s="7"/>
      <c r="M13" s="143"/>
      <c r="N13" s="144"/>
      <c r="O13" s="145" t="s">
        <v>105</v>
      </c>
      <c r="P13" s="10"/>
      <c r="Q13" s="10"/>
      <c r="R13" s="10"/>
      <c r="S13" s="10"/>
      <c r="T13" s="10"/>
      <c r="U13" s="10"/>
      <c r="V13" s="10"/>
      <c r="W13" s="10"/>
      <c r="X13" s="10"/>
      <c r="Y13" s="10"/>
      <c r="Z13" s="11"/>
    </row>
    <row r="14" ht="15.75" customHeight="1">
      <c r="A14" s="139"/>
      <c r="B14" s="146" t="s">
        <v>106</v>
      </c>
      <c r="C14" s="27"/>
      <c r="D14" s="27"/>
      <c r="E14" s="27"/>
      <c r="F14" s="27"/>
      <c r="G14" s="27"/>
      <c r="H14" s="27"/>
      <c r="I14" s="27"/>
      <c r="J14" s="27"/>
      <c r="K14" s="27"/>
      <c r="L14" s="27"/>
      <c r="M14" s="28"/>
      <c r="N14" s="144"/>
      <c r="O14" s="145" t="s">
        <v>107</v>
      </c>
      <c r="P14" s="10"/>
      <c r="Q14" s="10"/>
      <c r="R14" s="10"/>
      <c r="S14" s="10"/>
      <c r="T14" s="10"/>
      <c r="U14" s="10"/>
      <c r="V14" s="10"/>
      <c r="W14" s="10"/>
      <c r="X14" s="10"/>
      <c r="Y14" s="10"/>
      <c r="Z14" s="11"/>
    </row>
    <row r="15" ht="15.75" customHeight="1">
      <c r="A15" s="139"/>
      <c r="B15" s="146" t="s">
        <v>38</v>
      </c>
      <c r="C15" s="27"/>
      <c r="D15" s="27"/>
      <c r="E15" s="27"/>
      <c r="F15" s="27"/>
      <c r="G15" s="28"/>
      <c r="H15" s="147" t="s">
        <v>39</v>
      </c>
      <c r="I15" s="27"/>
      <c r="J15" s="27"/>
      <c r="K15" s="27"/>
      <c r="L15" s="27"/>
      <c r="M15" s="28"/>
      <c r="N15" s="144"/>
      <c r="O15" s="145" t="s">
        <v>38</v>
      </c>
      <c r="P15" s="10"/>
      <c r="Q15" s="10"/>
      <c r="R15" s="10"/>
      <c r="S15" s="10"/>
      <c r="T15" s="11"/>
      <c r="U15" s="148" t="s">
        <v>39</v>
      </c>
      <c r="V15" s="10"/>
      <c r="W15" s="10"/>
      <c r="X15" s="10"/>
      <c r="Y15" s="10"/>
      <c r="Z15" s="11"/>
    </row>
    <row r="16" ht="15.5" customHeight="1">
      <c r="A16" s="139"/>
      <c r="B16" s="149"/>
      <c r="C16" s="150"/>
      <c r="D16" s="150"/>
      <c r="E16" s="150"/>
      <c r="F16" s="150"/>
      <c r="G16" s="151"/>
      <c r="H16" s="149"/>
      <c r="I16" s="150"/>
      <c r="J16" s="150"/>
      <c r="K16" s="150"/>
      <c r="L16" s="150"/>
      <c r="M16" s="151"/>
      <c r="N16" s="144"/>
      <c r="O16" s="152" t="str">
        <f>IF(B16="","",(VALUE(MID(AJ16,7,8))/60+VALUE(MID(AJ16,4,2)))/60+VALUE(LEFT(AJ16,2)))</f>
        <v/>
      </c>
      <c r="P16" s="27"/>
      <c r="Q16" s="27"/>
      <c r="R16" s="27"/>
      <c r="S16" s="27"/>
      <c r="T16" s="28"/>
      <c r="U16" s="153" t="str">
        <f>IF(H16="","",(VALUE(MID(AK16,8,8))/60+VALUE(MID(AK16,5,2)))/60+VALUE(LEFT(AK16,3)))</f>
        <v/>
      </c>
      <c r="V16" s="27"/>
      <c r="W16" s="27"/>
      <c r="X16" s="27"/>
      <c r="Y16" s="27"/>
      <c r="Z16" s="28"/>
      <c r="AA16" s="154" t="s">
        <v>108</v>
      </c>
      <c r="AJ16" s="2" t="str">
        <f t="shared" ref="AJ16:AJ17" si="2">SUBSTITUTE(SUBSTITUTE(SUBSTITUTE(B16,"度","."),"分","."),"秒","")</f>
        <v/>
      </c>
      <c r="AK16" s="2" t="str">
        <f t="shared" ref="AK16:AK17" si="3">SUBSTITUTE(SUBSTITUTE(SUBSTITUTE(H16,"度","."),"分","."),"秒","")</f>
        <v/>
      </c>
    </row>
    <row r="17" ht="15.5" customHeight="1">
      <c r="A17" s="155" t="s">
        <v>109</v>
      </c>
      <c r="B17" s="156" t="s">
        <v>110</v>
      </c>
      <c r="C17" s="52"/>
      <c r="D17" s="52"/>
      <c r="E17" s="52"/>
      <c r="F17" s="52"/>
      <c r="G17" s="157"/>
      <c r="H17" s="158" t="s">
        <v>111</v>
      </c>
      <c r="I17" s="52"/>
      <c r="J17" s="52"/>
      <c r="K17" s="52"/>
      <c r="L17" s="52"/>
      <c r="M17" s="157"/>
      <c r="N17" s="144"/>
      <c r="O17" s="159">
        <f>(VALUE(MID(AJ17,7,8))/60+VALUE(MID(AJ17,4,2)))/60+VALUE(LEFT(AJ17,2))</f>
        <v>34.69262777777778</v>
      </c>
      <c r="P17" s="10"/>
      <c r="Q17" s="10"/>
      <c r="R17" s="10"/>
      <c r="S17" s="10"/>
      <c r="T17" s="11"/>
      <c r="U17" s="160">
        <f>(VALUE(MID(AK17,8,8))/60+VALUE(MID(AK17,5,2)))/60+VALUE(LEFT(AK17,3))</f>
        <v>135.49248611111111</v>
      </c>
      <c r="V17" s="10"/>
      <c r="W17" s="10"/>
      <c r="X17" s="10"/>
      <c r="Y17" s="10"/>
      <c r="Z17" s="11"/>
      <c r="AJ17" s="2" t="str">
        <f t="shared" si="2"/>
        <v>34.41.33.46</v>
      </c>
      <c r="AK17" s="2" t="str">
        <f t="shared" si="3"/>
        <v>135.29.32.95</v>
      </c>
    </row>
    <row r="27">
      <c r="A27" s="161"/>
    </row>
  </sheetData>
  <sheetProtection algorithmName="SHA-512" hashValue="A++zlYn5itJG14TM0jYXpDPKZ+cq9SFG4AohnqfQ2+nnJsC8XN1NojvIy1PLG3nDKfdTKIRa+24KinlypG5yiA==" saltValue="m7AwPI6qqj5SYb/wIxAY0Q==" spinCount="100000" autoFilter="1" deleteColumns="1" deleteRows="1" formatCells="1" formatColumns="1" formatRows="1" insertColumns="1" insertHyperlinks="1" insertRows="1" objects="1" pivotTables="1" scenarios="1" selectLockedCells="0" selectUnlockedCells="0" sheet="1" sort="1"/>
  <mergeCells count="17">
    <mergeCell ref="B16:G16"/>
    <mergeCell ref="H15:M15"/>
    <mergeCell ref="U16:Z16"/>
    <mergeCell ref="O15:T15"/>
    <mergeCell ref="U15:Z15"/>
    <mergeCell ref="A6:J6"/>
    <mergeCell ref="B17:G17"/>
    <mergeCell ref="O14:Z14"/>
    <mergeCell ref="B14:M14"/>
    <mergeCell ref="O13:Z13"/>
    <mergeCell ref="H17:M17"/>
    <mergeCell ref="B13:M13"/>
    <mergeCell ref="U17:Z17"/>
    <mergeCell ref="O17:T17"/>
    <mergeCell ref="B15:G15"/>
    <mergeCell ref="H16:M16"/>
    <mergeCell ref="O16:T16"/>
  </mergeCells>
  <hyperlinks>
    <hyperlink r:id="rId1" ref="K6"/>
    <hyperlink r:id="rId2" ref="K7"/>
  </hyperlinks>
  <printOptions headings="0" gridLines="0"/>
  <pageMargins left="0.69999999999999996" right="0.69999999999999996" top="0.75" bottom="0.75" header="0.29999999999999999" footer="0.29999999999999999"/>
  <pageSetup paperSize="9" scale="68"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2">
    <outlinePr applyStyles="0" summaryBelow="1" summaryRight="1" showOutlineSymbols="1"/>
    <pageSetUpPr autoPageBreaks="1" fitToPage="0"/>
  </sheetPr>
  <sheetViews>
    <sheetView zoomScale="100" workbookViewId="0">
      <selection activeCell="E32" activeCellId="0" sqref="E32"/>
    </sheetView>
  </sheetViews>
  <sheetFormatPr baseColWidth="8" defaultRowHeight="13"/>
  <cols>
    <col customWidth="1" min="1" max="1" style="1" width="3.6328125"/>
    <col customWidth="1" min="2" max="2" style="1" width="37.81640625"/>
    <col customWidth="1" min="3" max="3" style="1" width="11.54296875"/>
  </cols>
  <sheetData>
    <row r="1" ht="16" customHeight="1">
      <c r="A1" s="162" t="s">
        <v>112</v>
      </c>
      <c r="B1" s="2"/>
      <c r="C1" s="2"/>
      <c r="D1" s="2"/>
      <c r="E1" s="2"/>
      <c r="F1" s="2"/>
    </row>
    <row r="2" ht="15" customHeight="1">
      <c r="A2" s="2" t="s">
        <v>113</v>
      </c>
      <c r="B2" s="2"/>
      <c r="C2" s="2"/>
      <c r="D2" s="2"/>
      <c r="E2" s="2"/>
      <c r="F2" s="2"/>
    </row>
    <row r="3" ht="15" customHeight="1">
      <c r="A3" s="2"/>
      <c r="B3" s="2"/>
      <c r="C3" s="2"/>
      <c r="D3" s="2"/>
      <c r="E3" s="2"/>
      <c r="F3" s="2"/>
    </row>
    <row r="4" ht="15" customHeight="1">
      <c r="A4" s="163" t="s">
        <v>114</v>
      </c>
      <c r="B4" s="2"/>
      <c r="C4" s="2"/>
      <c r="D4" s="2"/>
      <c r="E4" s="2"/>
      <c r="F4" s="2"/>
    </row>
    <row r="5" ht="15" customHeight="1">
      <c r="A5" s="164" t="str">
        <f>HYPERLINK("https://www.google.com/maps?q=" &amp;入力フォーム!L16&amp; ","&amp;入力フォーム!R16,"　地図上で発電設備等設置場所を表示（Googleマップ）")</f>
        <v>　地図上で発電設備等設置場所を表示（Googleマップ）</v>
      </c>
      <c r="B5" s="2"/>
      <c r="C5" s="2"/>
      <c r="D5" s="2"/>
      <c r="E5" s="2"/>
      <c r="F5" s="2"/>
    </row>
    <row r="6" ht="15" customHeight="1">
      <c r="A6" s="103"/>
      <c r="B6" s="2"/>
      <c r="C6" s="2"/>
      <c r="D6" s="2"/>
      <c r="E6" s="2"/>
      <c r="F6" s="2"/>
    </row>
    <row r="7" ht="15" customHeight="1">
      <c r="A7" s="2"/>
      <c r="B7" s="2"/>
      <c r="C7" s="2"/>
      <c r="D7" s="2"/>
      <c r="E7" s="2"/>
      <c r="F7" s="2"/>
    </row>
    <row r="8" ht="15" customHeight="1">
      <c r="A8" s="163" t="s">
        <v>115</v>
      </c>
      <c r="B8" s="2"/>
      <c r="C8" s="2"/>
      <c r="D8" s="2"/>
      <c r="E8" s="2"/>
      <c r="F8" s="2"/>
    </row>
    <row r="9" ht="15" customHeight="1">
      <c r="A9" s="2"/>
      <c r="B9" s="165" t="s">
        <v>2</v>
      </c>
      <c r="C9" s="166" t="str">
        <f>入力フォーム!L2</f>
        <v>2026/08/XX</v>
      </c>
      <c r="D9" s="167"/>
      <c r="E9" s="167"/>
      <c r="F9" s="168"/>
    </row>
    <row r="10" ht="15" customHeight="1">
      <c r="A10" s="2"/>
      <c r="B10" s="169"/>
      <c r="C10" s="2"/>
      <c r="D10" s="2"/>
      <c r="E10" s="2"/>
      <c r="F10" s="170"/>
    </row>
    <row r="11" ht="15" customHeight="1">
      <c r="A11" s="2"/>
      <c r="B11" s="171" t="s">
        <v>6</v>
      </c>
      <c r="C11" s="167"/>
      <c r="D11" s="167"/>
      <c r="E11" s="167"/>
      <c r="F11" s="168"/>
    </row>
    <row r="12" ht="15" customHeight="1">
      <c r="A12" s="2"/>
      <c r="B12" s="169" t="s">
        <v>7</v>
      </c>
      <c r="C12" s="2" t="str">
        <f>入力フォーム!L5</f>
        <v xml:space="preserve">（法人名 未定：一般社団法人Mitsue-it 設立準備中）</v>
      </c>
      <c r="D12" s="2"/>
      <c r="E12" s="2"/>
      <c r="F12" s="170"/>
    </row>
    <row r="13" ht="15" customHeight="1">
      <c r="A13" s="2"/>
      <c r="B13" s="169" t="s">
        <v>11</v>
      </c>
      <c r="C13" s="2">
        <f>入力フォーム!L6</f>
        <v>0</v>
      </c>
      <c r="D13" s="2"/>
      <c r="E13" s="2"/>
      <c r="F13" s="170"/>
    </row>
    <row r="14" ht="15" customHeight="1">
      <c r="A14" s="2"/>
      <c r="B14" s="169" t="s">
        <v>14</v>
      </c>
      <c r="C14" s="2" t="str">
        <f>入力フォーム!L7</f>
        <v xml:space="preserve">Rob Oudendijk</v>
      </c>
      <c r="D14" s="2"/>
      <c r="E14" s="2"/>
      <c r="F14" s="170"/>
    </row>
    <row r="15" ht="15" customHeight="1">
      <c r="A15" s="2"/>
      <c r="B15" s="169" t="s">
        <v>18</v>
      </c>
      <c r="C15" s="2" t="str">
        <f>入力フォーム!L8</f>
        <v>oudendijk.biz@gmail.com</v>
      </c>
      <c r="D15" s="2"/>
      <c r="E15" s="2"/>
      <c r="F15" s="170"/>
    </row>
    <row r="16" ht="15" customHeight="1">
      <c r="A16" s="2"/>
      <c r="B16" s="169" t="s">
        <v>22</v>
      </c>
      <c r="C16" s="2">
        <f>入力フォーム!L9</f>
        <v>0</v>
      </c>
      <c r="D16" s="2"/>
      <c r="E16" s="2"/>
      <c r="F16" s="170"/>
    </row>
    <row r="17" ht="15" customHeight="1">
      <c r="A17" s="2"/>
      <c r="B17" s="169" t="s">
        <v>25</v>
      </c>
      <c r="C17" s="2">
        <f>入力フォーム!L10</f>
        <v>0</v>
      </c>
      <c r="D17" s="2"/>
      <c r="E17" s="2"/>
      <c r="F17" s="170"/>
    </row>
    <row r="18" ht="15" customHeight="1">
      <c r="A18" s="2"/>
      <c r="B18" s="172"/>
      <c r="C18" s="173"/>
      <c r="D18" s="173"/>
      <c r="E18" s="173"/>
      <c r="F18" s="174"/>
    </row>
    <row r="19" ht="15" customHeight="1">
      <c r="A19" s="2"/>
      <c r="B19" s="165" t="s">
        <v>26</v>
      </c>
      <c r="C19" s="167"/>
      <c r="D19" s="167"/>
      <c r="E19" s="167"/>
      <c r="F19" s="168"/>
    </row>
    <row r="20" ht="15" customHeight="1">
      <c r="A20" s="2"/>
      <c r="B20" s="169" t="s">
        <v>27</v>
      </c>
      <c r="C20" s="2" t="s">
        <v>28</v>
      </c>
      <c r="D20" s="2" t="s">
        <v>29</v>
      </c>
      <c r="E20" s="2" t="s">
        <v>30</v>
      </c>
      <c r="F20" s="170"/>
    </row>
    <row r="21" ht="15" customHeight="1">
      <c r="A21" s="2"/>
      <c r="B21" s="169"/>
      <c r="C21" s="2" t="str">
        <f>入力フォーム!L14</f>
        <v>奈良県</v>
      </c>
      <c r="D21" s="2" t="str">
        <f>入力フォーム!Q14</f>
        <v>宇陀郡御杖村</v>
      </c>
      <c r="E21" s="2" t="str">
        <f>入力フォーム!X14</f>
        <v>大字神末797</v>
      </c>
      <c r="F21" s="170"/>
    </row>
    <row r="22" ht="15" customHeight="1">
      <c r="A22" s="2"/>
      <c r="B22" s="169" t="s">
        <v>37</v>
      </c>
      <c r="C22" s="2" t="s">
        <v>38</v>
      </c>
      <c r="D22" s="2" t="s">
        <v>39</v>
      </c>
      <c r="E22" s="2"/>
      <c r="F22" s="170"/>
    </row>
    <row r="23" ht="15" customHeight="1">
      <c r="A23" s="2"/>
      <c r="B23" s="169"/>
      <c r="C23" s="2">
        <f>入力フォーム!L16</f>
        <v>34.488999999999997</v>
      </c>
      <c r="D23" s="2">
        <f>入力フォーム!R16</f>
        <v>136.20599999999999</v>
      </c>
      <c r="E23" s="2"/>
      <c r="F23" s="170"/>
    </row>
    <row r="24" ht="15" customHeight="1">
      <c r="A24" s="2"/>
      <c r="B24" s="169" t="s">
        <v>43</v>
      </c>
      <c r="C24" s="2" t="s">
        <v>116</v>
      </c>
      <c r="D24" s="2"/>
      <c r="E24" s="2"/>
      <c r="F24" s="170"/>
    </row>
    <row r="25" ht="15" customHeight="1">
      <c r="A25" s="2"/>
      <c r="B25" s="169" t="s">
        <v>45</v>
      </c>
      <c r="C25" s="2" t="str">
        <f>入力フォーム!L18</f>
        <v>バイオマス（未利用木質）</v>
      </c>
      <c r="D25" s="2"/>
      <c r="E25" s="2"/>
      <c r="F25" s="170"/>
    </row>
    <row r="26" ht="15" customHeight="1">
      <c r="A26" s="2"/>
      <c r="B26" s="169" t="s">
        <v>49</v>
      </c>
      <c r="C26" s="175">
        <f>入力フォーム!L19</f>
        <v>1150</v>
      </c>
      <c r="D26" s="2" t="s">
        <v>50</v>
      </c>
      <c r="E26" s="2"/>
      <c r="F26" s="170"/>
    </row>
    <row r="27" ht="15" customHeight="1">
      <c r="A27" s="2"/>
      <c r="B27" s="169" t="s">
        <v>52</v>
      </c>
      <c r="C27" s="175">
        <f>入力フォーム!L20</f>
        <v>0</v>
      </c>
      <c r="D27" s="2" t="s">
        <v>50</v>
      </c>
      <c r="E27" s="2"/>
      <c r="F27" s="170"/>
    </row>
    <row r="28" ht="15" customHeight="1">
      <c r="A28" s="2"/>
      <c r="B28" s="169" t="s">
        <v>53</v>
      </c>
      <c r="C28" s="175">
        <f>入力フォーム!L21</f>
        <v>1150</v>
      </c>
      <c r="D28" s="2" t="s">
        <v>50</v>
      </c>
      <c r="E28" s="2"/>
      <c r="F28" s="170"/>
    </row>
    <row r="29" ht="15" customHeight="1">
      <c r="A29" s="2"/>
      <c r="B29" s="172"/>
      <c r="C29" s="173"/>
      <c r="D29" s="173"/>
      <c r="E29" s="173"/>
      <c r="F29" s="174"/>
    </row>
    <row r="30" ht="15" customHeight="1">
      <c r="A30" s="2"/>
      <c r="B30" s="169" t="s">
        <v>55</v>
      </c>
      <c r="C30" s="2"/>
      <c r="D30" s="2"/>
      <c r="E30" s="2"/>
      <c r="F30" s="170"/>
    </row>
    <row r="31" ht="30" customHeight="1">
      <c r="A31" s="2"/>
      <c r="B31" s="176" t="s">
        <v>56</v>
      </c>
      <c r="C31" s="2" t="str">
        <f>入力フォーム!L24</f>
        <v>関西電力送配電株式会社</v>
      </c>
      <c r="D31" s="2"/>
      <c r="E31" s="2"/>
      <c r="F31" s="170"/>
    </row>
    <row r="32" ht="15" customHeight="1">
      <c r="A32" s="2"/>
      <c r="B32" s="169" t="s">
        <v>59</v>
      </c>
      <c r="C32" s="2" t="s">
        <v>60</v>
      </c>
      <c r="D32" s="2" t="s">
        <v>61</v>
      </c>
      <c r="E32" s="2" t="str">
        <f>入力フォーム!Q26</f>
        <v>掛(奈CP)または長野(奈CO)変電所付近を希望・詳細未定</v>
      </c>
      <c r="F32" s="170"/>
    </row>
    <row r="33" ht="15" customHeight="1">
      <c r="A33" s="2"/>
      <c r="B33" s="169"/>
      <c r="C33" s="2" t="s">
        <v>64</v>
      </c>
      <c r="D33" s="2" t="str">
        <f>入力フォーム!L27</f>
        <v>-</v>
      </c>
      <c r="E33" s="2"/>
      <c r="F33" s="170"/>
    </row>
    <row r="34" ht="15" customHeight="1">
      <c r="A34" s="2"/>
      <c r="B34" s="169" t="s">
        <v>66</v>
      </c>
      <c r="C34" s="2" t="str">
        <f>入力フォーム!L28</f>
        <v>6.6</v>
      </c>
      <c r="D34" s="2" t="s">
        <v>67</v>
      </c>
      <c r="E34" s="2"/>
      <c r="F34" s="170"/>
    </row>
    <row r="35" ht="15" customHeight="1">
      <c r="A35" s="2"/>
      <c r="B35" s="172"/>
      <c r="C35" s="173" t="s">
        <v>69</v>
      </c>
      <c r="D35" s="173">
        <f>入力フォーム!S29</f>
        <v>0</v>
      </c>
      <c r="E35" s="173" t="s">
        <v>67</v>
      </c>
      <c r="F35" s="174"/>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4">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3"/>
  <sheetData>
    <row r="1">
      <c r="A1" s="18" t="s">
        <v>117</v>
      </c>
      <c r="B1" s="18" t="s">
        <v>118</v>
      </c>
      <c r="C1" s="18" t="s">
        <v>119</v>
      </c>
      <c r="F1" s="18" t="s">
        <v>120</v>
      </c>
    </row>
    <row r="2">
      <c r="A2" s="18">
        <v>6.5999999999999996</v>
      </c>
      <c r="B2" s="82" t="s">
        <v>121</v>
      </c>
      <c r="C2" s="82">
        <v>77</v>
      </c>
      <c r="F2" s="18">
        <v>6.5999999999999996</v>
      </c>
      <c r="H2" s="18" t="s">
        <v>122</v>
      </c>
      <c r="I2" s="18" t="s">
        <v>123</v>
      </c>
      <c r="J2" s="18" t="s">
        <v>34</v>
      </c>
      <c r="K2" s="18" t="s">
        <v>124</v>
      </c>
      <c r="L2" s="18" t="s">
        <v>31</v>
      </c>
      <c r="M2" s="18" t="s">
        <v>125</v>
      </c>
      <c r="N2" s="18" t="s">
        <v>126</v>
      </c>
      <c r="O2" s="18" t="s">
        <v>127</v>
      </c>
      <c r="P2" s="18" t="s">
        <v>128</v>
      </c>
      <c r="Q2" s="18" t="s">
        <v>129</v>
      </c>
      <c r="R2" s="18" t="s">
        <v>130</v>
      </c>
      <c r="S2" s="18" t="s">
        <v>131</v>
      </c>
      <c r="T2" s="18" t="s">
        <v>132</v>
      </c>
    </row>
    <row r="3">
      <c r="A3" s="18" t="s">
        <v>133</v>
      </c>
      <c r="B3" s="18" t="s">
        <v>133</v>
      </c>
      <c r="C3" s="82">
        <v>154</v>
      </c>
      <c r="F3" s="82" t="s">
        <v>121</v>
      </c>
      <c r="H3" s="18" t="s">
        <v>134</v>
      </c>
      <c r="I3" s="18" t="s">
        <v>135</v>
      </c>
      <c r="J3" s="18" t="s">
        <v>136</v>
      </c>
      <c r="K3" s="18" t="s">
        <v>137</v>
      </c>
      <c r="L3" s="18" t="s">
        <v>138</v>
      </c>
      <c r="M3" s="18" t="s">
        <v>139</v>
      </c>
      <c r="N3" s="18" t="s">
        <v>140</v>
      </c>
      <c r="O3" s="18" t="s">
        <v>141</v>
      </c>
      <c r="P3" s="18" t="s">
        <v>142</v>
      </c>
      <c r="Q3" s="18" t="s">
        <v>133</v>
      </c>
      <c r="R3" s="18" t="s">
        <v>133</v>
      </c>
      <c r="S3" s="18" t="s">
        <v>133</v>
      </c>
      <c r="T3" s="18" t="s">
        <v>133</v>
      </c>
    </row>
    <row r="4">
      <c r="C4" s="82">
        <v>275</v>
      </c>
      <c r="F4" s="82">
        <v>77</v>
      </c>
      <c r="H4" s="18" t="s">
        <v>143</v>
      </c>
      <c r="I4" s="18" t="s">
        <v>144</v>
      </c>
      <c r="J4" s="18" t="s">
        <v>145</v>
      </c>
      <c r="K4" s="18" t="s">
        <v>146</v>
      </c>
      <c r="L4" s="18" t="s">
        <v>147</v>
      </c>
      <c r="M4" s="18" t="s">
        <v>148</v>
      </c>
      <c r="N4" s="18" t="s">
        <v>149</v>
      </c>
      <c r="O4" s="18" t="s">
        <v>150</v>
      </c>
      <c r="P4" s="18" t="s">
        <v>151</v>
      </c>
    </row>
    <row r="5">
      <c r="C5" s="18" t="s">
        <v>133</v>
      </c>
      <c r="F5" s="82">
        <v>154</v>
      </c>
      <c r="H5" s="18" t="s">
        <v>152</v>
      </c>
      <c r="I5" s="18" t="s">
        <v>153</v>
      </c>
      <c r="J5" s="18" t="s">
        <v>154</v>
      </c>
      <c r="K5" s="18" t="s">
        <v>155</v>
      </c>
      <c r="L5" s="18" t="s">
        <v>156</v>
      </c>
      <c r="M5" s="18" t="s">
        <v>157</v>
      </c>
      <c r="N5" s="18" t="s">
        <v>158</v>
      </c>
      <c r="O5" s="18" t="s">
        <v>159</v>
      </c>
      <c r="P5" s="18" t="s">
        <v>160</v>
      </c>
    </row>
    <row r="6">
      <c r="A6" s="18" t="str">
        <f>IF(入力フォーム!L21&lt;2000,"入力F_設定!A2:A3",IF(入力フォーム!L21&lt;10000,"入力F_設定!B2:B3","入力F_設定!C2:C5"))</f>
        <v>入力F_設定!A2:A3</v>
      </c>
      <c r="F6" s="82">
        <v>275</v>
      </c>
      <c r="H6" s="18" t="s">
        <v>161</v>
      </c>
      <c r="I6" s="18" t="s">
        <v>162</v>
      </c>
      <c r="J6" s="18" t="s">
        <v>163</v>
      </c>
      <c r="K6" s="18" t="s">
        <v>164</v>
      </c>
      <c r="L6" s="18" t="s">
        <v>165</v>
      </c>
      <c r="M6" s="18" t="s">
        <v>166</v>
      </c>
      <c r="N6" s="18" t="s">
        <v>167</v>
      </c>
      <c r="O6" s="18" t="s">
        <v>133</v>
      </c>
      <c r="P6" s="18" t="s">
        <v>168</v>
      </c>
    </row>
    <row r="7">
      <c r="A7" s="18" t="str">
        <f>IF(入力フォーム!AT21&lt;2000,"入力F_設定!A2:A3",IF(入力フォーム!AT21&lt;10000,"入力F_設定!B2:B3","入力F_設定!C2:C5"))</f>
        <v>入力F_設定!C2:C5</v>
      </c>
      <c r="F7" s="82">
        <v>500</v>
      </c>
      <c r="H7" s="18" t="s">
        <v>169</v>
      </c>
      <c r="I7" s="18" t="s">
        <v>170</v>
      </c>
      <c r="J7" s="18" t="s">
        <v>171</v>
      </c>
      <c r="K7" s="18" t="s">
        <v>172</v>
      </c>
      <c r="L7" s="18" t="s">
        <v>173</v>
      </c>
      <c r="M7" s="18" t="s">
        <v>174</v>
      </c>
      <c r="N7" s="18" t="s">
        <v>175</v>
      </c>
      <c r="P7" s="18" t="s">
        <v>176</v>
      </c>
    </row>
    <row r="8">
      <c r="H8" s="18" t="s">
        <v>177</v>
      </c>
      <c r="I8" s="18" t="s">
        <v>178</v>
      </c>
      <c r="J8" s="18" t="s">
        <v>179</v>
      </c>
      <c r="K8" s="18" t="s">
        <v>180</v>
      </c>
      <c r="L8" s="18" t="s">
        <v>181</v>
      </c>
      <c r="M8" s="18" t="s">
        <v>182</v>
      </c>
      <c r="N8" s="18" t="s">
        <v>183</v>
      </c>
      <c r="P8" s="18" t="s">
        <v>184</v>
      </c>
    </row>
    <row r="9">
      <c r="H9" s="18" t="s">
        <v>185</v>
      </c>
      <c r="I9" s="18" t="s">
        <v>186</v>
      </c>
      <c r="J9" s="18" t="s">
        <v>187</v>
      </c>
      <c r="K9" s="18" t="s">
        <v>188</v>
      </c>
      <c r="L9" s="18" t="s">
        <v>189</v>
      </c>
      <c r="M9" s="18" t="s">
        <v>190</v>
      </c>
      <c r="N9" s="18" t="s">
        <v>191</v>
      </c>
      <c r="P9" s="18" t="s">
        <v>192</v>
      </c>
    </row>
    <row r="10">
      <c r="H10" s="18" t="s">
        <v>193</v>
      </c>
      <c r="I10" s="18" t="s">
        <v>194</v>
      </c>
      <c r="J10" s="18" t="s">
        <v>195</v>
      </c>
      <c r="K10" s="18" t="s">
        <v>196</v>
      </c>
      <c r="L10" s="18" t="s">
        <v>197</v>
      </c>
      <c r="M10" s="18" t="s">
        <v>198</v>
      </c>
      <c r="N10" s="18" t="s">
        <v>133</v>
      </c>
      <c r="P10" s="18" t="s">
        <v>199</v>
      </c>
    </row>
    <row r="11">
      <c r="H11" s="18" t="s">
        <v>200</v>
      </c>
      <c r="I11" s="18" t="s">
        <v>201</v>
      </c>
      <c r="J11" s="18" t="s">
        <v>202</v>
      </c>
      <c r="K11" s="18" t="s">
        <v>203</v>
      </c>
      <c r="L11" s="18" t="s">
        <v>204</v>
      </c>
      <c r="M11" s="18" t="s">
        <v>205</v>
      </c>
      <c r="P11" s="18" t="s">
        <v>206</v>
      </c>
    </row>
    <row r="12">
      <c r="H12" s="18" t="s">
        <v>207</v>
      </c>
      <c r="I12" s="18" t="s">
        <v>208</v>
      </c>
      <c r="J12" s="18" t="s">
        <v>209</v>
      </c>
      <c r="K12" s="18" t="s">
        <v>210</v>
      </c>
      <c r="L12" s="18" t="s">
        <v>211</v>
      </c>
      <c r="M12" s="18" t="s">
        <v>212</v>
      </c>
      <c r="P12" s="18" t="s">
        <v>213</v>
      </c>
    </row>
    <row r="13">
      <c r="H13" s="18" t="s">
        <v>214</v>
      </c>
      <c r="I13" s="18" t="s">
        <v>215</v>
      </c>
      <c r="J13" s="18" t="s">
        <v>216</v>
      </c>
      <c r="K13" s="18" t="s">
        <v>217</v>
      </c>
      <c r="L13" s="18" t="s">
        <v>218</v>
      </c>
      <c r="M13" s="18" t="s">
        <v>219</v>
      </c>
      <c r="P13" s="18" t="s">
        <v>220</v>
      </c>
    </row>
    <row r="14">
      <c r="H14" s="18" t="s">
        <v>221</v>
      </c>
      <c r="I14" s="18" t="s">
        <v>222</v>
      </c>
      <c r="J14" s="18" t="s">
        <v>223</v>
      </c>
      <c r="K14" s="18" t="s">
        <v>224</v>
      </c>
      <c r="L14" s="18" t="s">
        <v>225</v>
      </c>
      <c r="M14" s="18" t="s">
        <v>226</v>
      </c>
      <c r="P14" s="18" t="s">
        <v>133</v>
      </c>
    </row>
    <row r="15">
      <c r="H15" s="18" t="s">
        <v>227</v>
      </c>
      <c r="I15" s="18" t="s">
        <v>228</v>
      </c>
      <c r="J15" s="18" t="s">
        <v>229</v>
      </c>
      <c r="K15" s="18" t="s">
        <v>230</v>
      </c>
      <c r="L15" s="18" t="s">
        <v>231</v>
      </c>
      <c r="M15" s="18" t="s">
        <v>232</v>
      </c>
    </row>
    <row r="16">
      <c r="H16" s="18" t="s">
        <v>233</v>
      </c>
      <c r="I16" s="18" t="s">
        <v>234</v>
      </c>
      <c r="J16" s="18" t="s">
        <v>235</v>
      </c>
      <c r="K16" s="18" t="s">
        <v>236</v>
      </c>
      <c r="L16" s="18" t="s">
        <v>237</v>
      </c>
      <c r="M16" s="18" t="s">
        <v>238</v>
      </c>
    </row>
    <row r="17">
      <c r="H17" s="18" t="s">
        <v>239</v>
      </c>
      <c r="I17" s="18" t="s">
        <v>240</v>
      </c>
      <c r="J17" s="18" t="s">
        <v>241</v>
      </c>
      <c r="K17" s="18" t="s">
        <v>242</v>
      </c>
      <c r="L17" s="18" t="s">
        <v>243</v>
      </c>
      <c r="M17" s="18" t="s">
        <v>244</v>
      </c>
    </row>
    <row r="18">
      <c r="H18" s="18" t="s">
        <v>245</v>
      </c>
      <c r="I18" s="18" t="s">
        <v>246</v>
      </c>
      <c r="J18" s="18" t="s">
        <v>247</v>
      </c>
      <c r="K18" s="18" t="s">
        <v>248</v>
      </c>
      <c r="L18" s="18" t="s">
        <v>249</v>
      </c>
      <c r="M18" s="18" t="s">
        <v>250</v>
      </c>
    </row>
    <row r="19">
      <c r="H19" s="18" t="s">
        <v>251</v>
      </c>
      <c r="I19" s="18" t="s">
        <v>252</v>
      </c>
      <c r="J19" s="18" t="s">
        <v>253</v>
      </c>
      <c r="K19" s="18" t="s">
        <v>254</v>
      </c>
      <c r="L19" s="18" t="s">
        <v>255</v>
      </c>
      <c r="M19" s="18" t="s">
        <v>256</v>
      </c>
    </row>
    <row r="20">
      <c r="H20" s="18" t="s">
        <v>257</v>
      </c>
      <c r="I20" s="18" t="s">
        <v>258</v>
      </c>
      <c r="J20" s="18" t="s">
        <v>259</v>
      </c>
      <c r="K20" s="18" t="s">
        <v>260</v>
      </c>
      <c r="L20" s="18" t="s">
        <v>261</v>
      </c>
      <c r="M20" s="18" t="s">
        <v>262</v>
      </c>
    </row>
    <row r="21">
      <c r="H21" s="18" t="s">
        <v>263</v>
      </c>
      <c r="I21" s="18" t="s">
        <v>264</v>
      </c>
      <c r="J21" s="18" t="s">
        <v>265</v>
      </c>
      <c r="K21" s="18" t="s">
        <v>266</v>
      </c>
      <c r="L21" s="18" t="s">
        <v>267</v>
      </c>
      <c r="M21" s="18" t="s">
        <v>268</v>
      </c>
    </row>
    <row r="22">
      <c r="I22" s="18" t="s">
        <v>269</v>
      </c>
      <c r="J22" s="18" t="s">
        <v>270</v>
      </c>
      <c r="K22" s="18" t="s">
        <v>271</v>
      </c>
      <c r="L22" s="18" t="s">
        <v>272</v>
      </c>
      <c r="M22" s="18" t="s">
        <v>273</v>
      </c>
    </row>
    <row r="23">
      <c r="I23" s="18" t="s">
        <v>274</v>
      </c>
      <c r="J23" s="18" t="s">
        <v>275</v>
      </c>
      <c r="K23" s="18" t="s">
        <v>276</v>
      </c>
      <c r="L23" s="18" t="s">
        <v>277</v>
      </c>
      <c r="M23" s="18" t="s">
        <v>278</v>
      </c>
    </row>
    <row r="24">
      <c r="I24" s="18" t="s">
        <v>279</v>
      </c>
      <c r="J24" s="18" t="s">
        <v>280</v>
      </c>
      <c r="K24" s="18" t="s">
        <v>281</v>
      </c>
      <c r="L24" s="18" t="s">
        <v>32</v>
      </c>
      <c r="M24" s="18" t="s">
        <v>282</v>
      </c>
    </row>
    <row r="25">
      <c r="I25" s="18" t="s">
        <v>283</v>
      </c>
      <c r="J25" s="18" t="s">
        <v>35</v>
      </c>
      <c r="K25" s="18" t="s">
        <v>284</v>
      </c>
      <c r="L25" s="18" t="s">
        <v>285</v>
      </c>
      <c r="M25" s="18" t="s">
        <v>286</v>
      </c>
    </row>
    <row r="26">
      <c r="I26" s="18" t="s">
        <v>287</v>
      </c>
      <c r="J26" s="18" t="s">
        <v>288</v>
      </c>
      <c r="K26" s="18" t="s">
        <v>289</v>
      </c>
      <c r="L26" s="18" t="s">
        <v>290</v>
      </c>
      <c r="M26" s="18" t="s">
        <v>291</v>
      </c>
    </row>
    <row r="27">
      <c r="I27" s="18" t="s">
        <v>292</v>
      </c>
      <c r="J27" s="18" t="s">
        <v>293</v>
      </c>
      <c r="K27" s="18" t="s">
        <v>294</v>
      </c>
      <c r="L27" s="18" t="s">
        <v>295</v>
      </c>
      <c r="M27" s="18" t="s">
        <v>296</v>
      </c>
    </row>
    <row r="28">
      <c r="I28" s="18" t="s">
        <v>297</v>
      </c>
      <c r="J28" s="18" t="s">
        <v>298</v>
      </c>
      <c r="K28" s="18" t="s">
        <v>299</v>
      </c>
      <c r="L28" s="18" t="s">
        <v>300</v>
      </c>
      <c r="M28" s="18" t="s">
        <v>301</v>
      </c>
    </row>
    <row r="29">
      <c r="I29" s="18" t="s">
        <v>302</v>
      </c>
      <c r="J29" s="18" t="s">
        <v>303</v>
      </c>
      <c r="K29" s="18" t="s">
        <v>304</v>
      </c>
      <c r="L29" s="18" t="s">
        <v>305</v>
      </c>
      <c r="M29" s="18" t="s">
        <v>306</v>
      </c>
    </row>
    <row r="30">
      <c r="I30" s="18" t="s">
        <v>307</v>
      </c>
      <c r="J30" s="18" t="s">
        <v>308</v>
      </c>
      <c r="K30" s="18" t="s">
        <v>309</v>
      </c>
      <c r="L30" s="18" t="s">
        <v>310</v>
      </c>
      <c r="M30" s="18" t="s">
        <v>311</v>
      </c>
    </row>
    <row r="31">
      <c r="I31" s="18" t="s">
        <v>312</v>
      </c>
      <c r="J31" s="18" t="s">
        <v>313</v>
      </c>
      <c r="K31" s="18" t="s">
        <v>314</v>
      </c>
      <c r="L31" s="18" t="s">
        <v>315</v>
      </c>
      <c r="M31" s="18" t="s">
        <v>316</v>
      </c>
    </row>
    <row r="32">
      <c r="I32" s="18" t="s">
        <v>317</v>
      </c>
      <c r="J32" s="18" t="s">
        <v>318</v>
      </c>
      <c r="K32" s="18" t="s">
        <v>319</v>
      </c>
      <c r="L32" s="18" t="s">
        <v>320</v>
      </c>
      <c r="M32" s="18" t="s">
        <v>321</v>
      </c>
    </row>
    <row r="33">
      <c r="I33" s="18" t="s">
        <v>322</v>
      </c>
      <c r="J33" s="18" t="s">
        <v>323</v>
      </c>
      <c r="K33" s="18" t="s">
        <v>324</v>
      </c>
      <c r="L33" s="18" t="s">
        <v>325</v>
      </c>
    </row>
    <row r="34">
      <c r="I34" s="18" t="s">
        <v>326</v>
      </c>
      <c r="J34" s="18" t="s">
        <v>327</v>
      </c>
      <c r="K34" s="18" t="s">
        <v>328</v>
      </c>
      <c r="L34" s="18" t="s">
        <v>329</v>
      </c>
    </row>
    <row r="35">
      <c r="I35" s="18" t="s">
        <v>330</v>
      </c>
      <c r="J35" s="18" t="s">
        <v>331</v>
      </c>
      <c r="K35" s="18" t="s">
        <v>332</v>
      </c>
      <c r="L35" s="18" t="s">
        <v>333</v>
      </c>
    </row>
    <row r="36">
      <c r="I36" s="18" t="s">
        <v>334</v>
      </c>
      <c r="J36" s="18" t="s">
        <v>335</v>
      </c>
      <c r="K36" s="18" t="s">
        <v>336</v>
      </c>
      <c r="L36" s="18" t="s">
        <v>337</v>
      </c>
    </row>
    <row r="37">
      <c r="I37" s="18" t="s">
        <v>338</v>
      </c>
      <c r="J37" s="18" t="s">
        <v>339</v>
      </c>
      <c r="K37" s="18" t="s">
        <v>340</v>
      </c>
      <c r="L37" s="18" t="s">
        <v>341</v>
      </c>
    </row>
    <row r="38">
      <c r="I38" s="18" t="s">
        <v>342</v>
      </c>
      <c r="J38" s="18" t="s">
        <v>343</v>
      </c>
      <c r="K38" s="18" t="s">
        <v>344</v>
      </c>
      <c r="L38" s="18" t="s">
        <v>345</v>
      </c>
    </row>
    <row r="39">
      <c r="J39" s="18" t="s">
        <v>346</v>
      </c>
      <c r="K39" s="18" t="s">
        <v>347</v>
      </c>
      <c r="L39" s="18" t="s">
        <v>348</v>
      </c>
    </row>
    <row r="40">
      <c r="J40" s="18" t="s">
        <v>349</v>
      </c>
      <c r="K40" s="18" t="s">
        <v>350</v>
      </c>
      <c r="L40" s="18" t="s">
        <v>351</v>
      </c>
    </row>
    <row r="41">
      <c r="J41" s="18" t="s">
        <v>352</v>
      </c>
      <c r="K41" s="18" t="s">
        <v>353</v>
      </c>
      <c r="L41" s="18" t="s">
        <v>354</v>
      </c>
    </row>
    <row r="42">
      <c r="J42" s="18" t="s">
        <v>355</v>
      </c>
      <c r="K42" s="18" t="s">
        <v>356</v>
      </c>
    </row>
    <row r="43">
      <c r="J43" s="18" t="s">
        <v>357</v>
      </c>
      <c r="K43" s="18" t="s">
        <v>358</v>
      </c>
    </row>
    <row r="44">
      <c r="J44" s="18" t="s">
        <v>359</v>
      </c>
      <c r="K44" s="18" t="s">
        <v>360</v>
      </c>
    </row>
    <row r="45">
      <c r="J45" s="18" t="s">
        <v>361</v>
      </c>
      <c r="K45" s="18" t="s">
        <v>362</v>
      </c>
    </row>
    <row r="46">
      <c r="J46" s="18" t="s">
        <v>363</v>
      </c>
      <c r="K46" s="18" t="s">
        <v>364</v>
      </c>
    </row>
    <row r="47">
      <c r="J47" s="18" t="s">
        <v>365</v>
      </c>
      <c r="K47" s="18" t="s">
        <v>366</v>
      </c>
    </row>
    <row r="48">
      <c r="J48" s="18" t="s">
        <v>367</v>
      </c>
      <c r="K48" s="18" t="s">
        <v>368</v>
      </c>
    </row>
    <row r="49">
      <c r="J49" s="18" t="s">
        <v>369</v>
      </c>
      <c r="K49" s="18" t="s">
        <v>370</v>
      </c>
    </row>
    <row r="50">
      <c r="J50" s="18" t="s">
        <v>371</v>
      </c>
      <c r="K50" s="18" t="s">
        <v>372</v>
      </c>
    </row>
    <row r="51">
      <c r="J51" s="18" t="s">
        <v>373</v>
      </c>
      <c r="K51" s="18" t="s">
        <v>374</v>
      </c>
    </row>
    <row r="52">
      <c r="J52" s="18" t="s">
        <v>375</v>
      </c>
    </row>
    <row r="53">
      <c r="J53" s="18" t="s">
        <v>376</v>
      </c>
    </row>
    <row r="54">
      <c r="J54" s="18" t="s">
        <v>377</v>
      </c>
    </row>
    <row r="55">
      <c r="J55" s="18" t="s">
        <v>378</v>
      </c>
    </row>
    <row r="56">
      <c r="J56" s="18" t="s">
        <v>379</v>
      </c>
    </row>
    <row r="57">
      <c r="J57" s="18" t="s">
        <v>380</v>
      </c>
    </row>
    <row r="58">
      <c r="J58" s="18" t="s">
        <v>381</v>
      </c>
    </row>
    <row r="59">
      <c r="J59" s="18" t="s">
        <v>382</v>
      </c>
    </row>
    <row r="60">
      <c r="J60" s="18" t="s">
        <v>383</v>
      </c>
    </row>
    <row r="61">
      <c r="J61" s="18" t="s">
        <v>384</v>
      </c>
    </row>
    <row r="62">
      <c r="J62" s="18" t="s">
        <v>385</v>
      </c>
    </row>
    <row r="63">
      <c r="J63" s="18" t="s">
        <v>386</v>
      </c>
    </row>
    <row r="64">
      <c r="J64" s="18" t="s">
        <v>387</v>
      </c>
    </row>
    <row r="65">
      <c r="J65" s="18" t="s">
        <v>388</v>
      </c>
    </row>
    <row r="66">
      <c r="J66" s="18" t="s">
        <v>389</v>
      </c>
    </row>
    <row r="67">
      <c r="J67" s="18" t="s">
        <v>390</v>
      </c>
    </row>
    <row r="68">
      <c r="J68" s="18" t="s">
        <v>391</v>
      </c>
    </row>
    <row r="69">
      <c r="J69" s="18" t="s">
        <v>392</v>
      </c>
    </row>
    <row r="70">
      <c r="J70" s="18" t="s">
        <v>393</v>
      </c>
    </row>
    <row r="71">
      <c r="J71" s="18" t="s">
        <v>394</v>
      </c>
    </row>
    <row r="72">
      <c r="J72" s="18" t="s">
        <v>395</v>
      </c>
    </row>
    <row r="73">
      <c r="J73" s="18" t="s">
        <v>396</v>
      </c>
    </row>
    <row r="74">
      <c r="J74" s="18" t="s">
        <v>397</v>
      </c>
    </row>
  </sheetData>
  <sheetProtection algorithmName="SHA-512" hashValue="C4N+ZlcArmozqaII0nmPf5BrGt891Q2h1L0hBMc4Ya1EplWiwr8hKvyaKEYF2x3CEsYhuwUJHjywdDpPFCFJkg==" saltValue="AWir5Gz9+uGPjVcorJf4fA==" spinCount="100000" autoFilter="1" deleteColumns="1" deleteRows="1" formatCells="1" formatColumns="1" formatRows="1" insertColumns="1" insertHyperlinks="1" insertRows="1" objects="1" pivotTables="1" scenarios="1" selectLockedCells="1" selectUnlockedCells="0"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事前相談申込書（特別高圧）</dc:title>
  <cp:revision>1</cp:revision>
  <dcterms:created xsi:type="dcterms:W3CDTF">2023-12-12T00:59:34Z</dcterms:created>
  <dcterms:modified xsi:type="dcterms:W3CDTF">2026-08-09T05:39:34Z</dcterms:modified>
</cp:coreProperties>
</file>